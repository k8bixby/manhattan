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50" documentId="11_1E4572ACD3E05274A162C2F0505ED87656CF70AB" xr6:coauthVersionLast="47" xr6:coauthVersionMax="47" xr10:uidLastSave="{776757E5-F7DF-4015-9F22-705ABD6A7E76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>Sheet1!$A$5:$X$207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8" i="1" l="1"/>
  <c r="A205" i="1"/>
  <c r="A169" i="1"/>
  <c r="A165" i="1"/>
  <c r="A146" i="1"/>
  <c r="A128" i="1"/>
  <c r="A124" i="1"/>
  <c r="A121" i="1"/>
  <c r="A119" i="1"/>
  <c r="A114" i="1"/>
  <c r="A111" i="1"/>
  <c r="A109" i="1"/>
  <c r="A107" i="1"/>
  <c r="A100" i="1"/>
  <c r="A96" i="1"/>
  <c r="A94" i="1"/>
  <c r="A87" i="1"/>
  <c r="A84" i="1"/>
  <c r="A82" i="1"/>
  <c r="A78" i="1"/>
  <c r="A76" i="1"/>
  <c r="A72" i="1"/>
  <c r="A70" i="1"/>
  <c r="A68" i="1"/>
  <c r="A63" i="1"/>
  <c r="A60" i="1"/>
  <c r="A57" i="1"/>
  <c r="A55" i="1"/>
  <c r="A53" i="1"/>
  <c r="A50" i="1"/>
  <c r="A48" i="1"/>
  <c r="A45" i="1"/>
  <c r="A41" i="1"/>
  <c r="A36" i="1"/>
  <c r="A33" i="1"/>
  <c r="A31" i="1"/>
  <c r="A28" i="1"/>
  <c r="A26" i="1"/>
  <c r="A20" i="1"/>
  <c r="A15" i="1"/>
  <c r="A9" i="1"/>
  <c r="G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9" i="1"/>
  <c r="X9" i="1"/>
  <c r="W9" i="1"/>
  <c r="W209" i="1" s="1"/>
  <c r="V9" i="1"/>
  <c r="U9" i="1"/>
  <c r="T9" i="1"/>
  <c r="S9" i="1"/>
  <c r="R9" i="1"/>
  <c r="Q9" i="1"/>
  <c r="P9" i="1"/>
  <c r="O9" i="1"/>
  <c r="O209" i="1" s="1"/>
  <c r="N9" i="1"/>
  <c r="M9" i="1"/>
  <c r="L9" i="1"/>
  <c r="K9" i="1"/>
  <c r="K209" i="1" s="1"/>
  <c r="J9" i="1"/>
  <c r="I9" i="1"/>
  <c r="H9" i="1"/>
  <c r="H209" i="1" l="1"/>
  <c r="L209" i="1"/>
  <c r="P209" i="1"/>
  <c r="T209" i="1"/>
  <c r="X209" i="1"/>
  <c r="J209" i="1"/>
  <c r="N209" i="1"/>
  <c r="R209" i="1"/>
  <c r="V209" i="1"/>
  <c r="S209" i="1"/>
  <c r="I209" i="1"/>
  <c r="M209" i="1"/>
  <c r="Q209" i="1"/>
  <c r="U209" i="1"/>
  <c r="G209" i="1"/>
</calcChain>
</file>

<file path=xl/sharedStrings.xml><?xml version="1.0" encoding="utf-8"?>
<sst xmlns="http://schemas.openxmlformats.org/spreadsheetml/2006/main" count="514" uniqueCount="277">
  <si>
    <t>Dept ID</t>
  </si>
  <si>
    <t>Dept Name</t>
  </si>
  <si>
    <t>Job Code</t>
  </si>
  <si>
    <t>Job Desc</t>
  </si>
  <si>
    <t>Emplid</t>
  </si>
  <si>
    <t>Name</t>
  </si>
  <si>
    <t>2026-01-10</t>
  </si>
  <si>
    <t>2026-01-24</t>
  </si>
  <si>
    <t>2026-02-07</t>
  </si>
  <si>
    <t>2026-02-21</t>
  </si>
  <si>
    <t>2026-03-07</t>
  </si>
  <si>
    <t>2026-04-04</t>
  </si>
  <si>
    <t>2026-04-18</t>
  </si>
  <si>
    <t>2026-05-02</t>
  </si>
  <si>
    <t>2026-05-16</t>
  </si>
  <si>
    <t>2026-05-31</t>
  </si>
  <si>
    <t>2026-06-13</t>
  </si>
  <si>
    <t>2026-06-27</t>
  </si>
  <si>
    <t>2026-07-11</t>
  </si>
  <si>
    <t>2026-07-25</t>
  </si>
  <si>
    <t>2026-08-08</t>
  </si>
  <si>
    <t>2026-08-22</t>
  </si>
  <si>
    <t>2026-09-05</t>
  </si>
  <si>
    <t>YTD OT FTES</t>
  </si>
  <si>
    <t>O360 Managed Staff and OTS</t>
  </si>
  <si>
    <t>Access Service Representative</t>
  </si>
  <si>
    <t>Abel,Natisha A</t>
  </si>
  <si>
    <t>POS - Central Services</t>
  </si>
  <si>
    <t>Sterile Processing Tech (LH)</t>
  </si>
  <si>
    <t>Abredu,Roland</t>
  </si>
  <si>
    <t>Environmental Services</t>
  </si>
  <si>
    <t>Housekeeper</t>
  </si>
  <si>
    <t>Abreu,Max</t>
  </si>
  <si>
    <t>NRSG - Float</t>
  </si>
  <si>
    <t>Patient Care Associate</t>
  </si>
  <si>
    <t>Aheto,Vida</t>
  </si>
  <si>
    <t>Waxer Stripper</t>
  </si>
  <si>
    <t>Alston,Lynnasia</t>
  </si>
  <si>
    <t>Sup Svc-Food and Nutrition</t>
  </si>
  <si>
    <t>Pot Washer</t>
  </si>
  <si>
    <t>Alvarez Moises,Juan J</t>
  </si>
  <si>
    <t>Sup Svc - Engineerg And Maint</t>
  </si>
  <si>
    <t>Carpenter A</t>
  </si>
  <si>
    <t>Andriychuk,Oleg</t>
  </si>
  <si>
    <t>CT - Respiratory Therapy</t>
  </si>
  <si>
    <t>Respiratory Therapist, Reg</t>
  </si>
  <si>
    <t>Angelillo,Joyme</t>
  </si>
  <si>
    <t>POS - Same Day admission</t>
  </si>
  <si>
    <t>RN</t>
  </si>
  <si>
    <t>Antonio,Maria Teresa R</t>
  </si>
  <si>
    <t>POS - Recovery Room</t>
  </si>
  <si>
    <t>Antonio,Rodolfo</t>
  </si>
  <si>
    <t>Hospital Material</t>
  </si>
  <si>
    <t>Distribution Assoc</t>
  </si>
  <si>
    <t>Arama,Sophia</t>
  </si>
  <si>
    <t>Lead Distribution Associate</t>
  </si>
  <si>
    <t>Argueta,Ismael</t>
  </si>
  <si>
    <t>Asante Sarfo,Dora</t>
  </si>
  <si>
    <t>NRSG - 4 Uris</t>
  </si>
  <si>
    <t>Ashley,Tamika S.</t>
  </si>
  <si>
    <t>Azcona,Cristian</t>
  </si>
  <si>
    <t>Bah,Fatimata</t>
  </si>
  <si>
    <t>Bah,Habibatou</t>
  </si>
  <si>
    <t>Patient Transport Services</t>
  </si>
  <si>
    <t>Patient Service Navigator (LH)</t>
  </si>
  <si>
    <t>Bah,Ibrahima S</t>
  </si>
  <si>
    <t>NRSG - 6 Uris</t>
  </si>
  <si>
    <t>Bailey,Carmen</t>
  </si>
  <si>
    <t>Barnett,Mario-Dano N</t>
  </si>
  <si>
    <t>Periop Material</t>
  </si>
  <si>
    <t>Barry,Ibrahima S</t>
  </si>
  <si>
    <t>NRSG - 9 Wollman</t>
  </si>
  <si>
    <t>Belo-Ynayan,Lorelei R</t>
  </si>
  <si>
    <t>Lab-Chemistry</t>
  </si>
  <si>
    <t>Pathology Technologist</t>
  </si>
  <si>
    <t>Bennett,William Jisung</t>
  </si>
  <si>
    <t>Boateng,Yaw</t>
  </si>
  <si>
    <t>Lead Housekeeper</t>
  </si>
  <si>
    <t>Calderon,Robert</t>
  </si>
  <si>
    <t>First Cook</t>
  </si>
  <si>
    <t>Cardenas-Bernal,Walter E.</t>
  </si>
  <si>
    <t>Carter,Felicia A</t>
  </si>
  <si>
    <t>NRSG - Labor and Delivery</t>
  </si>
  <si>
    <t>Castaneda,Herminia</t>
  </si>
  <si>
    <t>NRSG - 7 Wollman</t>
  </si>
  <si>
    <t>Charles Sapp,Bobette</t>
  </si>
  <si>
    <t>Lead Locksmith</t>
  </si>
  <si>
    <t>Chota,Augustin</t>
  </si>
  <si>
    <t>Cisse,Kako</t>
  </si>
  <si>
    <t>NRSG - Emergency Room</t>
  </si>
  <si>
    <t>Patient Care Tech</t>
  </si>
  <si>
    <t>Clarke-Wynter,Joyce</t>
  </si>
  <si>
    <t>Colon,Ruth</t>
  </si>
  <si>
    <t>Commedo,Dennis L</t>
  </si>
  <si>
    <t>Pathology - Clinical</t>
  </si>
  <si>
    <t>Phlebotomist</t>
  </si>
  <si>
    <t>Cruz,Fanny</t>
  </si>
  <si>
    <t>NRSG - 5 Lachman</t>
  </si>
  <si>
    <t>Daniel,Marie G</t>
  </si>
  <si>
    <t>NRSG - 9 Uris</t>
  </si>
  <si>
    <t>Datsomon,Adjo E</t>
  </si>
  <si>
    <t>Dietary Worker</t>
  </si>
  <si>
    <t>Delbrun,Yves</t>
  </si>
  <si>
    <t>Deosaran,Bibi</t>
  </si>
  <si>
    <t>NRSG - 8 Wollman</t>
  </si>
  <si>
    <t>Dewar,Sophia Lourane</t>
  </si>
  <si>
    <t>Diaz,Nancy</t>
  </si>
  <si>
    <t>Dozier,Andre L</t>
  </si>
  <si>
    <t>Host/Hostess</t>
  </si>
  <si>
    <t>Dragoj,Greta</t>
  </si>
  <si>
    <t>Edwards,Pauline</t>
  </si>
  <si>
    <t>Elmorsy,Alaa</t>
  </si>
  <si>
    <t>ED Technician</t>
  </si>
  <si>
    <t>Espin,Jurgen fernando</t>
  </si>
  <si>
    <t>Cook's Helper</t>
  </si>
  <si>
    <t>Fernandez,BRESNICK M</t>
  </si>
  <si>
    <t>Lead Sterile Proc Tech (LH)</t>
  </si>
  <si>
    <t>Fields,Tyrone</t>
  </si>
  <si>
    <t>Fink,Gloria</t>
  </si>
  <si>
    <t>Lead Operator</t>
  </si>
  <si>
    <t>Forlenza,Thomas J</t>
  </si>
  <si>
    <t>Francklin,Gerald</t>
  </si>
  <si>
    <t>Francois,Onique</t>
  </si>
  <si>
    <t>Frimpong,Eric</t>
  </si>
  <si>
    <t>Gaines,Marjorie D</t>
  </si>
  <si>
    <t>Lab - Hematology</t>
  </si>
  <si>
    <t>Gao,Shan</t>
  </si>
  <si>
    <t>Garcia Ortiz,Martin</t>
  </si>
  <si>
    <t>Radiology MRI</t>
  </si>
  <si>
    <t>MRI Technologist</t>
  </si>
  <si>
    <t>Gaspar,Osmond A</t>
  </si>
  <si>
    <t>George,Shyhiem</t>
  </si>
  <si>
    <t>NRSG - 8 East</t>
  </si>
  <si>
    <t>Giddings,Taren shenella</t>
  </si>
  <si>
    <t>Patient Care Associate (GF)</t>
  </si>
  <si>
    <t>Glasgow,Melinda A</t>
  </si>
  <si>
    <t>Lead Dietary Worker</t>
  </si>
  <si>
    <t>Godoy-Santana,Edith</t>
  </si>
  <si>
    <t>Gonta,Viktor</t>
  </si>
  <si>
    <t>Gonzalez,Linnette D</t>
  </si>
  <si>
    <t>Grant,Andre A</t>
  </si>
  <si>
    <t>Patient Service Facilitator</t>
  </si>
  <si>
    <t>Green,Octavia</t>
  </si>
  <si>
    <t>NRSG - 4th Floor Maternity</t>
  </si>
  <si>
    <t>Green,Paula E</t>
  </si>
  <si>
    <t>Griffiths,Angella</t>
  </si>
  <si>
    <t>Gyamfi,Dorcas Z</t>
  </si>
  <si>
    <t>Hall,Kevin</t>
  </si>
  <si>
    <t>Hammonds,John</t>
  </si>
  <si>
    <t>Harris,Feiona A</t>
  </si>
  <si>
    <t>PlumberA</t>
  </si>
  <si>
    <t>Harrison,Vance D</t>
  </si>
  <si>
    <t>Lead Receiving Clerk</t>
  </si>
  <si>
    <t>Hector,Devon B</t>
  </si>
  <si>
    <t>Lead Path Technologist</t>
  </si>
  <si>
    <t>Hervias,Sarah G</t>
  </si>
  <si>
    <t>Hewitt,Andrew A</t>
  </si>
  <si>
    <t>Sup Svc-Telecommunications</t>
  </si>
  <si>
    <t>Telephone Operator</t>
  </si>
  <si>
    <t>Huertas,Carmen M</t>
  </si>
  <si>
    <t>NRSG - 8 Lachman</t>
  </si>
  <si>
    <t>Ilboudo,Cerina</t>
  </si>
  <si>
    <t>Isaac,Cherish A</t>
  </si>
  <si>
    <t>James,Marieline</t>
  </si>
  <si>
    <t>Pathology - Anatomical</t>
  </si>
  <si>
    <t>Lead Pathologists' Assistant</t>
  </si>
  <si>
    <t>Jiang,Mengjiao</t>
  </si>
  <si>
    <t>Junious,Gregory</t>
  </si>
  <si>
    <t>Kamara,Mabinty</t>
  </si>
  <si>
    <t>Kee,Joseph</t>
  </si>
  <si>
    <t>Lawrence,Beverley M</t>
  </si>
  <si>
    <t>NRSG - 9 East</t>
  </si>
  <si>
    <t>Lekha,Indira</t>
  </si>
  <si>
    <t>Leocadio,Brittany</t>
  </si>
  <si>
    <t>Linden,Brendan G</t>
  </si>
  <si>
    <t>Lumsden,Fitz R</t>
  </si>
  <si>
    <t>Lutawan,Premnauth</t>
  </si>
  <si>
    <t>Radiology Cat Scan</t>
  </si>
  <si>
    <t>CT Technologist</t>
  </si>
  <si>
    <t>Maharjan,Buddha K</t>
  </si>
  <si>
    <t>Manning,Andrew A.</t>
  </si>
  <si>
    <t>Marshall,Marcia A</t>
  </si>
  <si>
    <t>Sup Svc-Laundry and Linen</t>
  </si>
  <si>
    <t>Washer</t>
  </si>
  <si>
    <t>Martey,Jonathan A</t>
  </si>
  <si>
    <t>Pathologist Asst</t>
  </si>
  <si>
    <t>Martinez,Hannah Marie</t>
  </si>
  <si>
    <t>Miles,Will</t>
  </si>
  <si>
    <t>Minott,Troy</t>
  </si>
  <si>
    <t>Miranda,Adam</t>
  </si>
  <si>
    <t>Miranda,Marcelo</t>
  </si>
  <si>
    <t>Mulloon,Erik Andrew</t>
  </si>
  <si>
    <t>Mundon,Anthony</t>
  </si>
  <si>
    <t>Neggeh Jalloh,Mohamed</t>
  </si>
  <si>
    <t>Nelson,Nicole A.</t>
  </si>
  <si>
    <t>Nesbitt,Jason</t>
  </si>
  <si>
    <t>Nozhnitsky,Alexander</t>
  </si>
  <si>
    <t>Nunez,Janssel</t>
  </si>
  <si>
    <t>Neurology</t>
  </si>
  <si>
    <t>EEG Technician (LX)</t>
  </si>
  <si>
    <t>Oluwafunmilayo,Ifedolapo Victoria</t>
  </si>
  <si>
    <t>Oppong-Nyarko,Yaw</t>
  </si>
  <si>
    <t>Ortega,Miguel A</t>
  </si>
  <si>
    <t>Owusu-Antwi,Douglas</t>
  </si>
  <si>
    <t>Operator - Facilities</t>
  </si>
  <si>
    <t>Panton,Wayne A</t>
  </si>
  <si>
    <t>Perez Iii,Robert</t>
  </si>
  <si>
    <t>Phillander,Delon C.</t>
  </si>
  <si>
    <t>Pineda,Teresa</t>
  </si>
  <si>
    <t>Pizarro,Manuel Sergio</t>
  </si>
  <si>
    <t>NRSG - Cardiac cath</t>
  </si>
  <si>
    <t>Ponciano,Junavee B</t>
  </si>
  <si>
    <t>Powell,Shani A</t>
  </si>
  <si>
    <t>Correspondence Stat Secy</t>
  </si>
  <si>
    <t>Pratt,Anish</t>
  </si>
  <si>
    <t>Puno,Gina Jean</t>
  </si>
  <si>
    <t>Rahman,Md Sayfur</t>
  </si>
  <si>
    <t>Ramirez,Xiomara J</t>
  </si>
  <si>
    <t>Mason-Plasterer</t>
  </si>
  <si>
    <t>Ramos,Rafael</t>
  </si>
  <si>
    <t>Ramos,Tyrell Y</t>
  </si>
  <si>
    <t>Rice,Kavon Jerrell</t>
  </si>
  <si>
    <t>Ridley-Floyd,Amanda</t>
  </si>
  <si>
    <t>Robertson,Asanta A</t>
  </si>
  <si>
    <t>Rodas,Walter</t>
  </si>
  <si>
    <t>Rodriguez,Denny</t>
  </si>
  <si>
    <t>Rodriguez,Sumei E</t>
  </si>
  <si>
    <t>Rosario,Jael A</t>
  </si>
  <si>
    <t>Sr Telephone Operator</t>
  </si>
  <si>
    <t>Rose,Michelle A</t>
  </si>
  <si>
    <t>Ruiz,Joshua S</t>
  </si>
  <si>
    <t>SODJIGBE,Jolie Afi</t>
  </si>
  <si>
    <t>Sanichar,Karran Persaud</t>
  </si>
  <si>
    <t>CT - Pharmacy</t>
  </si>
  <si>
    <t>Pharmacist</t>
  </si>
  <si>
    <t>Sekyiamah,Stephen</t>
  </si>
  <si>
    <t>Sherman,Andrew J</t>
  </si>
  <si>
    <t>POS - Operating Room</t>
  </si>
  <si>
    <t>Sherrock,Marie A</t>
  </si>
  <si>
    <t>NRSG - 5 Uris</t>
  </si>
  <si>
    <t>Shim,Karen</t>
  </si>
  <si>
    <t>Shubayev,Oleg</t>
  </si>
  <si>
    <t>Smith,Clive Anthony</t>
  </si>
  <si>
    <t>Smith,Odalis</t>
  </si>
  <si>
    <t>HVAC Service Worker</t>
  </si>
  <si>
    <t>Steevens,Alberto Rogelio</t>
  </si>
  <si>
    <t>Stewart,Esron N</t>
  </si>
  <si>
    <t>Stoddart,Travis B</t>
  </si>
  <si>
    <t>Stroman,Kawan</t>
  </si>
  <si>
    <t>Swen,Ruben</t>
  </si>
  <si>
    <t>CT Scan Technologist</t>
  </si>
  <si>
    <t>Tang,Kam</t>
  </si>
  <si>
    <t>Tarawally,John Raka</t>
  </si>
  <si>
    <t>Thompson Lewis,Shavonne</t>
  </si>
  <si>
    <t>Administrative Support Assistant</t>
  </si>
  <si>
    <t>Thrower,Briona</t>
  </si>
  <si>
    <t>Tillett,Dawn Yvonne</t>
  </si>
  <si>
    <t>Tyson,Jeffrey</t>
  </si>
  <si>
    <t>NRSG - 7 Lachman</t>
  </si>
  <si>
    <t>Ukpong,Ndifreke</t>
  </si>
  <si>
    <t>Veliz,Omar A</t>
  </si>
  <si>
    <t>Vidal,Freda O</t>
  </si>
  <si>
    <t>Whittick,Opal</t>
  </si>
  <si>
    <t>Wiggins,Emuerald</t>
  </si>
  <si>
    <t>William,Alister</t>
  </si>
  <si>
    <t>Williams,Tony</t>
  </si>
  <si>
    <t>Witkowski,Agnieszka</t>
  </si>
  <si>
    <t>Wright,Tamisha</t>
  </si>
  <si>
    <t>NRSG - 7 Uris</t>
  </si>
  <si>
    <t>Wright-Smith,Muriel I</t>
  </si>
  <si>
    <t>PA Service-Interventional Card</t>
  </si>
  <si>
    <t>Senior Physician Assistant</t>
  </si>
  <si>
    <t>Zanoniani,Joanne</t>
  </si>
  <si>
    <t>Grand Total</t>
  </si>
  <si>
    <t>Lenox Hill Hospital</t>
  </si>
  <si>
    <t>OT FTEs Trend</t>
  </si>
  <si>
    <t>As of September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</si>
</sst>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Ebrima"/>
    </font>
    <font>
      <b/>
      <sz val="10"/>
      <color theme="1"/>
      <name val="Ebrima"/>
    </font>
    <font>
      <i/>
      <sz val="10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0" borderId="0" xfId="0" applyFont="1"/>
    <xf numFmtId="164" fontId="3" fillId="0" borderId="0" xfId="1" applyNumberFormat="1" applyFont="1"/>
    <xf numFmtId="0" fontId="3" fillId="2" borderId="0" xfId="0" applyFont="1" applyFill="1"/>
    <xf numFmtId="164" fontId="3" fillId="2" borderId="0" xfId="1" applyNumberFormat="1" applyFont="1" applyFill="1"/>
    <xf numFmtId="0" fontId="3" fillId="0" borderId="1" xfId="0" applyFont="1" applyBorder="1"/>
    <xf numFmtId="164" fontId="3" fillId="0" borderId="1" xfId="1" applyNumberFormat="1" applyFont="1" applyBorder="1"/>
    <xf numFmtId="0" fontId="3" fillId="0" borderId="2" xfId="0" applyFont="1" applyBorder="1"/>
    <xf numFmtId="164" fontId="3" fillId="0" borderId="2" xfId="1" applyNumberFormat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0"/>
  <sheetViews>
    <sheetView tabSelected="1" workbookViewId="0">
      <pane xSplit="6" ySplit="5" topLeftCell="O6" activePane="bottomRight" state="frozen"/>
      <selection pane="topRight" activeCell="G1" sqref="G1"/>
      <selection pane="bottomLeft" activeCell="A2" sqref="A2"/>
      <selection pane="bottomRight"/>
    </sheetView>
  </sheetViews>
  <sheetFormatPr defaultRowHeight="14.25" outlineLevelRow="2" x14ac:dyDescent="0.25"/>
  <cols>
    <col min="1" max="1" width="10.140625" style="1" bestFit="1" customWidth="1"/>
    <col min="2" max="2" width="27.42578125" style="1" bestFit="1" customWidth="1"/>
    <col min="3" max="3" width="11.42578125" style="1" bestFit="1" customWidth="1"/>
    <col min="4" max="4" width="28.42578125" style="1" bestFit="1" customWidth="1"/>
    <col min="5" max="5" width="9.42578125" style="1" bestFit="1" customWidth="1"/>
    <col min="6" max="6" width="30.140625" style="1" bestFit="1" customWidth="1"/>
    <col min="7" max="7" width="16.42578125" style="4" bestFit="1" customWidth="1"/>
    <col min="8" max="24" width="14.140625" style="2" bestFit="1" customWidth="1"/>
    <col min="25" max="16384" width="9.140625" style="1"/>
  </cols>
  <sheetData>
    <row r="1" spans="1:24" x14ac:dyDescent="0.25">
      <c r="A1" s="3" t="s">
        <v>274</v>
      </c>
    </row>
    <row r="2" spans="1:24" x14ac:dyDescent="0.25">
      <c r="A2" s="11" t="s">
        <v>275</v>
      </c>
    </row>
    <row r="3" spans="1:24" x14ac:dyDescent="0.25">
      <c r="A3" s="1" t="s">
        <v>276</v>
      </c>
    </row>
    <row r="5" spans="1:24" s="3" customFormat="1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 t="s">
        <v>23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</row>
    <row r="6" spans="1:24" outlineLevel="2" x14ac:dyDescent="0.25">
      <c r="A6" s="1">
        <v>15600100</v>
      </c>
      <c r="B6" s="1" t="s">
        <v>52</v>
      </c>
      <c r="C6" s="1">
        <v>108219</v>
      </c>
      <c r="D6" s="1" t="s">
        <v>53</v>
      </c>
      <c r="E6" s="1">
        <v>157624</v>
      </c>
      <c r="F6" s="1" t="s">
        <v>54</v>
      </c>
      <c r="G6" s="4">
        <v>0.51058823529411768</v>
      </c>
      <c r="H6" s="2">
        <v>0.33333333333333331</v>
      </c>
      <c r="I6" s="2">
        <v>0.54666666666666663</v>
      </c>
      <c r="J6" s="2">
        <v>0.70666666666666667</v>
      </c>
      <c r="K6" s="2">
        <v>0.52666666666666662</v>
      </c>
      <c r="L6" s="2">
        <v>0.7466666666666667</v>
      </c>
      <c r="M6" s="2">
        <v>0.21</v>
      </c>
      <c r="N6" s="2">
        <v>0.40666666666666668</v>
      </c>
      <c r="O6" s="2">
        <v>0.70666666666666667</v>
      </c>
      <c r="P6" s="2">
        <v>0.53333333333333333</v>
      </c>
      <c r="Q6" s="2">
        <v>0.83333333333333337</v>
      </c>
      <c r="R6" s="2">
        <v>0.39333333333333331</v>
      </c>
      <c r="S6" s="2">
        <v>0.44666666666666671</v>
      </c>
      <c r="T6" s="2">
        <v>0.42666666666666669</v>
      </c>
      <c r="U6" s="2">
        <v>0.2</v>
      </c>
      <c r="V6" s="2">
        <v>0.65</v>
      </c>
      <c r="W6" s="2">
        <v>0.53</v>
      </c>
      <c r="X6" s="2">
        <v>0.48333333333333328</v>
      </c>
    </row>
    <row r="7" spans="1:24" outlineLevel="2" x14ac:dyDescent="0.25">
      <c r="A7" s="1">
        <v>15600100</v>
      </c>
      <c r="B7" s="1" t="s">
        <v>52</v>
      </c>
      <c r="C7" s="1">
        <v>108226</v>
      </c>
      <c r="D7" s="1" t="s">
        <v>55</v>
      </c>
      <c r="E7" s="1">
        <v>160265</v>
      </c>
      <c r="F7" s="1" t="s">
        <v>56</v>
      </c>
      <c r="G7" s="4">
        <v>0.61057254901960789</v>
      </c>
      <c r="H7" s="2">
        <v>1.083333333333333</v>
      </c>
      <c r="I7" s="2">
        <v>0.98666666666666669</v>
      </c>
      <c r="J7" s="2">
        <v>0.39333333333333331</v>
      </c>
      <c r="K7" s="2">
        <v>0.95333333333333337</v>
      </c>
      <c r="L7" s="2">
        <v>0.52666666666666662</v>
      </c>
      <c r="M7" s="2">
        <v>1.299733333333333</v>
      </c>
      <c r="N7" s="2">
        <v>0.97</v>
      </c>
      <c r="O7" s="2">
        <v>0.32</v>
      </c>
      <c r="P7" s="2">
        <v>0</v>
      </c>
      <c r="Q7" s="2">
        <v>0</v>
      </c>
      <c r="R7" s="2">
        <v>0.44666666666666671</v>
      </c>
      <c r="S7" s="2">
        <v>0.98</v>
      </c>
      <c r="T7" s="2">
        <v>0.87333333333333329</v>
      </c>
      <c r="U7" s="2">
        <v>0.81666666666666665</v>
      </c>
      <c r="V7" s="2">
        <v>0.73</v>
      </c>
      <c r="W7" s="2">
        <v>0</v>
      </c>
      <c r="X7" s="2">
        <v>0</v>
      </c>
    </row>
    <row r="8" spans="1:24" outlineLevel="2" x14ac:dyDescent="0.25">
      <c r="A8" s="1">
        <v>15600100</v>
      </c>
      <c r="B8" s="1" t="s">
        <v>52</v>
      </c>
      <c r="C8" s="1">
        <v>108228</v>
      </c>
      <c r="D8" s="1" t="s">
        <v>152</v>
      </c>
      <c r="E8" s="1">
        <v>218299</v>
      </c>
      <c r="F8" s="1" t="s">
        <v>153</v>
      </c>
      <c r="G8" s="4">
        <v>0.34888888888888892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0.52333333333333332</v>
      </c>
      <c r="N8" s="2">
        <v>0.35666666666666669</v>
      </c>
      <c r="O8" s="2">
        <v>0.23</v>
      </c>
      <c r="P8" s="2">
        <v>0.30666666666666659</v>
      </c>
      <c r="Q8" s="2">
        <v>0.64333333333333331</v>
      </c>
      <c r="R8" s="2">
        <v>0.33666666666666673</v>
      </c>
      <c r="S8" s="2">
        <v>0.33666666666666673</v>
      </c>
      <c r="T8" s="2">
        <v>0.49666666666666659</v>
      </c>
      <c r="U8" s="2">
        <v>0.47</v>
      </c>
      <c r="V8" s="2">
        <v>0.13666666666666669</v>
      </c>
      <c r="W8" s="2">
        <v>0.1133333333333333</v>
      </c>
      <c r="X8" s="2">
        <v>0.23666666666666669</v>
      </c>
    </row>
    <row r="9" spans="1:24" outlineLevel="1" x14ac:dyDescent="0.25">
      <c r="A9" s="7" t="str">
        <f>A8&amp;" - "&amp;B8</f>
        <v>15600100 - Hospital Material</v>
      </c>
      <c r="B9" s="7"/>
      <c r="C9" s="7"/>
      <c r="D9" s="7"/>
      <c r="E9" s="7"/>
      <c r="F9" s="7"/>
      <c r="G9" s="8">
        <f>SUBTOTAL(9,G6:G8)</f>
        <v>1.4700496732026145</v>
      </c>
      <c r="H9" s="8">
        <f>SUBTOTAL(9,H6:H8)</f>
        <v>1.4166666666666663</v>
      </c>
      <c r="I9" s="8">
        <f>SUBTOTAL(9,I6:I8)</f>
        <v>1.5333333333333332</v>
      </c>
      <c r="J9" s="8">
        <f>SUBTOTAL(9,J6:J8)</f>
        <v>1.1000000000000001</v>
      </c>
      <c r="K9" s="8">
        <f>SUBTOTAL(9,K6:K8)</f>
        <v>1.48</v>
      </c>
      <c r="L9" s="8">
        <f>SUBTOTAL(9,L6:L8)</f>
        <v>1.2733333333333334</v>
      </c>
      <c r="M9" s="8">
        <f>SUBTOTAL(9,M6:M8)</f>
        <v>2.0330666666666661</v>
      </c>
      <c r="N9" s="8">
        <f>SUBTOTAL(9,N6:N8)</f>
        <v>1.7333333333333334</v>
      </c>
      <c r="O9" s="8">
        <f>SUBTOTAL(9,O6:O8)</f>
        <v>1.2566666666666666</v>
      </c>
      <c r="P9" s="8">
        <f>SUBTOTAL(9,P6:P8)</f>
        <v>0.83999999999999986</v>
      </c>
      <c r="Q9" s="8">
        <f>SUBTOTAL(9,Q6:Q8)</f>
        <v>1.4766666666666666</v>
      </c>
      <c r="R9" s="8">
        <f>SUBTOTAL(9,R6:R8)</f>
        <v>1.1766666666666667</v>
      </c>
      <c r="S9" s="8">
        <f>SUBTOTAL(9,S6:S8)</f>
        <v>1.7633333333333334</v>
      </c>
      <c r="T9" s="8">
        <f>SUBTOTAL(9,T6:T8)</f>
        <v>1.7966666666666666</v>
      </c>
      <c r="U9" s="8">
        <f>SUBTOTAL(9,U6:U8)</f>
        <v>1.4866666666666666</v>
      </c>
      <c r="V9" s="8">
        <f>SUBTOTAL(9,V6:V8)</f>
        <v>1.5166666666666666</v>
      </c>
      <c r="W9" s="8">
        <f>SUBTOTAL(9,W6:W8)</f>
        <v>0.64333333333333331</v>
      </c>
      <c r="X9" s="8">
        <f>SUBTOTAL(9,X6:X8)</f>
        <v>0.72</v>
      </c>
    </row>
    <row r="10" spans="1:24" outlineLevel="2" x14ac:dyDescent="0.25">
      <c r="A10" s="1">
        <v>15600160</v>
      </c>
      <c r="B10" s="1" t="s">
        <v>69</v>
      </c>
      <c r="C10" s="1">
        <v>108219</v>
      </c>
      <c r="D10" s="1" t="s">
        <v>53</v>
      </c>
      <c r="E10" s="1">
        <v>159972</v>
      </c>
      <c r="F10" s="1" t="s">
        <v>76</v>
      </c>
      <c r="G10" s="4">
        <v>0.663921568627451</v>
      </c>
      <c r="H10" s="2">
        <v>0.67666666666666664</v>
      </c>
      <c r="I10" s="2">
        <v>0.58666666666666667</v>
      </c>
      <c r="J10" s="2">
        <v>0.72666666666666668</v>
      </c>
      <c r="K10" s="2">
        <v>0.34666666666666668</v>
      </c>
      <c r="L10" s="2">
        <v>0.98</v>
      </c>
      <c r="M10" s="2">
        <v>0.62666666666666671</v>
      </c>
      <c r="N10" s="2">
        <v>0.80333333333333334</v>
      </c>
      <c r="O10" s="2">
        <v>0.93</v>
      </c>
      <c r="P10" s="2">
        <v>0.68</v>
      </c>
      <c r="Q10" s="2">
        <v>0.44333333333333341</v>
      </c>
      <c r="R10" s="2">
        <v>0.9</v>
      </c>
      <c r="S10" s="2">
        <v>0.52333333333333332</v>
      </c>
      <c r="T10" s="2">
        <v>0.70333333333333337</v>
      </c>
      <c r="U10" s="2">
        <v>0.9</v>
      </c>
      <c r="V10" s="2">
        <v>0.72</v>
      </c>
      <c r="W10" s="2">
        <v>0.32666666666666672</v>
      </c>
      <c r="X10" s="2">
        <v>0.41333333333333327</v>
      </c>
    </row>
    <row r="11" spans="1:24" outlineLevel="2" x14ac:dyDescent="0.25">
      <c r="A11" s="1">
        <v>15600160</v>
      </c>
      <c r="B11" s="1" t="s">
        <v>69</v>
      </c>
      <c r="C11" s="1">
        <v>108219</v>
      </c>
      <c r="D11" s="1" t="s">
        <v>53</v>
      </c>
      <c r="E11" s="1">
        <v>446526</v>
      </c>
      <c r="F11" s="1" t="s">
        <v>242</v>
      </c>
      <c r="G11" s="4">
        <v>0.64647058823529413</v>
      </c>
      <c r="H11" s="2">
        <v>0.35666666666666669</v>
      </c>
      <c r="I11" s="2">
        <v>0.8833333333333333</v>
      </c>
      <c r="J11" s="2">
        <v>0.71666666666666667</v>
      </c>
      <c r="K11" s="2">
        <v>0.68333333333333335</v>
      </c>
      <c r="L11" s="2">
        <v>0.62333333333333329</v>
      </c>
      <c r="M11" s="2">
        <v>0.66333333333333333</v>
      </c>
      <c r="N11" s="2">
        <v>0.49</v>
      </c>
      <c r="O11" s="2">
        <v>0.69</v>
      </c>
      <c r="P11" s="2">
        <v>0.74333333333333329</v>
      </c>
      <c r="Q11" s="2">
        <v>0.81</v>
      </c>
      <c r="R11" s="2">
        <v>0.2</v>
      </c>
      <c r="S11" s="2">
        <v>0.36666666666666659</v>
      </c>
      <c r="T11" s="2">
        <v>0.71</v>
      </c>
      <c r="U11" s="2">
        <v>0.76666666666666672</v>
      </c>
      <c r="V11" s="2">
        <v>0.73</v>
      </c>
      <c r="W11" s="2">
        <v>0.67666666666666664</v>
      </c>
      <c r="X11" s="2">
        <v>0.88</v>
      </c>
    </row>
    <row r="12" spans="1:24" outlineLevel="2" x14ac:dyDescent="0.25">
      <c r="A12" s="1">
        <v>15600160</v>
      </c>
      <c r="B12" s="1" t="s">
        <v>69</v>
      </c>
      <c r="C12" s="1">
        <v>108219</v>
      </c>
      <c r="D12" s="1" t="s">
        <v>53</v>
      </c>
      <c r="E12" s="1">
        <v>247494</v>
      </c>
      <c r="F12" s="1" t="s">
        <v>247</v>
      </c>
      <c r="G12" s="4">
        <v>0.73549019607843136</v>
      </c>
      <c r="H12" s="2">
        <v>0.9966666666666667</v>
      </c>
      <c r="I12" s="2">
        <v>1.073333333333333</v>
      </c>
      <c r="J12" s="2">
        <v>0.89</v>
      </c>
      <c r="K12" s="2">
        <v>0.93333333333333335</v>
      </c>
      <c r="L12" s="2">
        <v>0.42333333333333328</v>
      </c>
      <c r="M12" s="2">
        <v>0.32</v>
      </c>
      <c r="N12" s="2">
        <v>0.70333333333333337</v>
      </c>
      <c r="O12" s="2">
        <v>0.38</v>
      </c>
      <c r="P12" s="2">
        <v>0.51</v>
      </c>
      <c r="Q12" s="2">
        <v>0.49666666666666659</v>
      </c>
      <c r="R12" s="2">
        <v>0.86</v>
      </c>
      <c r="S12" s="2">
        <v>0.8833333333333333</v>
      </c>
      <c r="T12" s="2">
        <v>0.70333333333333337</v>
      </c>
      <c r="U12" s="2">
        <v>0.87333333333333329</v>
      </c>
      <c r="V12" s="2">
        <v>0.69666666666666666</v>
      </c>
      <c r="W12" s="2">
        <v>0.9</v>
      </c>
      <c r="X12" s="2">
        <v>0.86</v>
      </c>
    </row>
    <row r="13" spans="1:24" outlineLevel="2" x14ac:dyDescent="0.25">
      <c r="A13" s="1">
        <v>15600160</v>
      </c>
      <c r="B13" s="1" t="s">
        <v>69</v>
      </c>
      <c r="C13" s="1">
        <v>108226</v>
      </c>
      <c r="D13" s="1" t="s">
        <v>55</v>
      </c>
      <c r="E13" s="1">
        <v>206308</v>
      </c>
      <c r="F13" s="1" t="s">
        <v>70</v>
      </c>
      <c r="G13" s="4">
        <v>0.50098039215686274</v>
      </c>
      <c r="H13" s="2">
        <v>0.17333333333333331</v>
      </c>
      <c r="I13" s="2">
        <v>0.53333333333333333</v>
      </c>
      <c r="J13" s="2">
        <v>0.44</v>
      </c>
      <c r="K13" s="2">
        <v>0.6333333333333333</v>
      </c>
      <c r="L13" s="2">
        <v>0.69</v>
      </c>
      <c r="M13" s="2">
        <v>0.46666666666666667</v>
      </c>
      <c r="N13" s="2">
        <v>0.53333333333333333</v>
      </c>
      <c r="O13" s="2">
        <v>0.45333333333333331</v>
      </c>
      <c r="P13" s="2">
        <v>0.32</v>
      </c>
      <c r="Q13" s="2">
        <v>0.33333333333333331</v>
      </c>
      <c r="R13" s="2">
        <v>0.56000000000000005</v>
      </c>
      <c r="S13" s="2">
        <v>0.37666666666666659</v>
      </c>
      <c r="T13" s="2">
        <v>0.53333333333333333</v>
      </c>
      <c r="U13" s="2">
        <v>0.75</v>
      </c>
      <c r="V13" s="2">
        <v>0.53333333333333333</v>
      </c>
      <c r="W13" s="2">
        <v>0.65333333333333332</v>
      </c>
      <c r="X13" s="2">
        <v>0.53333333333333333</v>
      </c>
    </row>
    <row r="14" spans="1:24" outlineLevel="2" x14ac:dyDescent="0.25">
      <c r="A14" s="1">
        <v>15600160</v>
      </c>
      <c r="B14" s="1" t="s">
        <v>69</v>
      </c>
      <c r="C14" s="1">
        <v>108226</v>
      </c>
      <c r="D14" s="1" t="s">
        <v>55</v>
      </c>
      <c r="E14" s="1">
        <v>157038</v>
      </c>
      <c r="F14" s="1" t="s">
        <v>207</v>
      </c>
      <c r="G14" s="4">
        <v>0.96588235294117653</v>
      </c>
      <c r="H14" s="2">
        <v>1.013333333333333</v>
      </c>
      <c r="I14" s="2">
        <v>1.033333333333333</v>
      </c>
      <c r="J14" s="2">
        <v>1.1266666666666669</v>
      </c>
      <c r="K14" s="2">
        <v>1.063333333333333</v>
      </c>
      <c r="L14" s="2">
        <v>0.98333333333333328</v>
      </c>
      <c r="M14" s="2">
        <v>1.1599999999999999</v>
      </c>
      <c r="N14" s="2">
        <v>0.55333333333333334</v>
      </c>
      <c r="O14" s="2">
        <v>0.93333333333333335</v>
      </c>
      <c r="P14" s="2">
        <v>0.66</v>
      </c>
      <c r="Q14" s="2">
        <v>1.04</v>
      </c>
      <c r="R14" s="2">
        <v>1.0366666666666671</v>
      </c>
      <c r="S14" s="2">
        <v>1.0266666666666671</v>
      </c>
      <c r="T14" s="2">
        <v>0.73666666666666669</v>
      </c>
      <c r="U14" s="2">
        <v>1.1133333333333331</v>
      </c>
      <c r="V14" s="2">
        <v>0.90666666666666662</v>
      </c>
      <c r="W14" s="2">
        <v>0.91333333333333333</v>
      </c>
      <c r="X14" s="2">
        <v>1.1200000000000001</v>
      </c>
    </row>
    <row r="15" spans="1:24" outlineLevel="1" x14ac:dyDescent="0.25">
      <c r="A15" s="7" t="str">
        <f>A14&amp;" - "&amp;B14</f>
        <v>15600160 - Periop Material</v>
      </c>
      <c r="B15" s="7"/>
      <c r="C15" s="7"/>
      <c r="D15" s="7"/>
      <c r="E15" s="7"/>
      <c r="F15" s="7"/>
      <c r="G15" s="8">
        <f>SUBTOTAL(9,G10:G14)</f>
        <v>3.5127450980392156</v>
      </c>
      <c r="H15" s="8">
        <f>SUBTOTAL(9,H10:H14)</f>
        <v>3.2166666666666659</v>
      </c>
      <c r="I15" s="8">
        <f>SUBTOTAL(9,I10:I14)</f>
        <v>4.1099999999999994</v>
      </c>
      <c r="J15" s="8">
        <f>SUBTOTAL(9,J10:J14)</f>
        <v>3.9000000000000004</v>
      </c>
      <c r="K15" s="8">
        <f>SUBTOTAL(9,K10:K14)</f>
        <v>3.6599999999999997</v>
      </c>
      <c r="L15" s="8">
        <f>SUBTOTAL(9,L10:L14)</f>
        <v>3.6999999999999997</v>
      </c>
      <c r="M15" s="8">
        <f>SUBTOTAL(9,M10:M14)</f>
        <v>3.2366666666666664</v>
      </c>
      <c r="N15" s="8">
        <f>SUBTOTAL(9,N10:N14)</f>
        <v>3.0833333333333335</v>
      </c>
      <c r="O15" s="8">
        <f>SUBTOTAL(9,O10:O14)</f>
        <v>3.3866666666666667</v>
      </c>
      <c r="P15" s="8">
        <f>SUBTOTAL(9,P10:P14)</f>
        <v>2.9133333333333336</v>
      </c>
      <c r="Q15" s="8">
        <f>SUBTOTAL(9,Q10:Q14)</f>
        <v>3.1233333333333335</v>
      </c>
      <c r="R15" s="8">
        <f>SUBTOTAL(9,R10:R14)</f>
        <v>3.5566666666666671</v>
      </c>
      <c r="S15" s="8">
        <f>SUBTOTAL(9,S10:S14)</f>
        <v>3.1766666666666667</v>
      </c>
      <c r="T15" s="8">
        <f>SUBTOTAL(9,T10:T14)</f>
        <v>3.3866666666666667</v>
      </c>
      <c r="U15" s="8">
        <f>SUBTOTAL(9,U10:U14)</f>
        <v>4.4033333333333333</v>
      </c>
      <c r="V15" s="8">
        <f>SUBTOTAL(9,V10:V14)</f>
        <v>3.5866666666666664</v>
      </c>
      <c r="W15" s="8">
        <f>SUBTOTAL(9,W10:W14)</f>
        <v>3.4699999999999998</v>
      </c>
      <c r="X15" s="8">
        <f>SUBTOTAL(9,X10:X14)</f>
        <v>3.8066666666666666</v>
      </c>
    </row>
    <row r="16" spans="1:24" outlineLevel="2" x14ac:dyDescent="0.25">
      <c r="A16" s="1">
        <v>15600360</v>
      </c>
      <c r="B16" s="1" t="s">
        <v>24</v>
      </c>
      <c r="C16" s="1">
        <v>116649</v>
      </c>
      <c r="D16" s="1" t="s">
        <v>25</v>
      </c>
      <c r="E16" s="1">
        <v>246502</v>
      </c>
      <c r="F16" s="1" t="s">
        <v>26</v>
      </c>
      <c r="G16" s="4">
        <v>0.58134074074074071</v>
      </c>
      <c r="H16" s="2">
        <v>0.68159999999999998</v>
      </c>
      <c r="I16" s="2">
        <v>0.64026666666666676</v>
      </c>
      <c r="J16" s="2">
        <v>0.41839999999999999</v>
      </c>
      <c r="K16" s="2">
        <v>0.69840000000000002</v>
      </c>
      <c r="L16" s="2">
        <v>0.81840000000000002</v>
      </c>
      <c r="M16" s="2">
        <v>0.31553333333333328</v>
      </c>
      <c r="N16" s="2">
        <v>0.48666666666666669</v>
      </c>
      <c r="O16" s="2">
        <v>0.51439999999999997</v>
      </c>
      <c r="P16" s="2">
        <v>0.64</v>
      </c>
      <c r="Q16" s="2">
        <v>0.71040000000000003</v>
      </c>
      <c r="R16" s="2">
        <v>0.63666666666666671</v>
      </c>
      <c r="S16" s="2">
        <v>0.49493333333333328</v>
      </c>
      <c r="T16" s="2">
        <v>0.1</v>
      </c>
      <c r="U16" s="2">
        <v>0.59706666666666663</v>
      </c>
      <c r="V16" s="2">
        <v>0.1976</v>
      </c>
      <c r="W16" s="2">
        <v>0.9602666666666666</v>
      </c>
      <c r="X16" s="2">
        <v>1.238</v>
      </c>
    </row>
    <row r="17" spans="1:24" outlineLevel="2" x14ac:dyDescent="0.25">
      <c r="A17" s="1">
        <v>15600360</v>
      </c>
      <c r="B17" s="1" t="s">
        <v>24</v>
      </c>
      <c r="C17" s="1">
        <v>116649</v>
      </c>
      <c r="D17" s="1" t="s">
        <v>25</v>
      </c>
      <c r="E17" s="1">
        <v>227216</v>
      </c>
      <c r="F17" s="1" t="s">
        <v>81</v>
      </c>
      <c r="G17" s="4">
        <v>0.47633333333333328</v>
      </c>
      <c r="H17" s="2">
        <v>0.79773333333333329</v>
      </c>
      <c r="I17" s="2">
        <v>0.3782666666666667</v>
      </c>
      <c r="J17" s="2">
        <v>0.48666666666666669</v>
      </c>
      <c r="K17" s="2">
        <v>0.28666666666666668</v>
      </c>
      <c r="L17" s="2">
        <v>0.37333333333333341</v>
      </c>
      <c r="M17" s="2">
        <v>0.79333333333333333</v>
      </c>
      <c r="N17" s="2">
        <v>0</v>
      </c>
      <c r="O17" s="2">
        <v>0.49333333333333329</v>
      </c>
      <c r="P17" s="2">
        <v>0.81</v>
      </c>
      <c r="Q17" s="2">
        <v>0.68333333333333335</v>
      </c>
      <c r="R17" s="2">
        <v>0.48666666666666669</v>
      </c>
      <c r="S17" s="2">
        <v>0.88959999999999995</v>
      </c>
      <c r="T17" s="2">
        <v>9.3333333333333338E-2</v>
      </c>
      <c r="U17" s="2">
        <v>0.56000000000000005</v>
      </c>
      <c r="V17" s="2">
        <v>0.17</v>
      </c>
      <c r="W17" s="2">
        <v>0</v>
      </c>
      <c r="X17" s="2">
        <v>0.77839999999999998</v>
      </c>
    </row>
    <row r="18" spans="1:24" outlineLevel="2" x14ac:dyDescent="0.25">
      <c r="A18" s="1">
        <v>15600360</v>
      </c>
      <c r="B18" s="1" t="s">
        <v>24</v>
      </c>
      <c r="C18" s="1">
        <v>116649</v>
      </c>
      <c r="D18" s="1" t="s">
        <v>25</v>
      </c>
      <c r="E18" s="1">
        <v>203250</v>
      </c>
      <c r="F18" s="1" t="s">
        <v>162</v>
      </c>
      <c r="G18" s="4">
        <v>0.42738039215686269</v>
      </c>
      <c r="H18" s="2">
        <v>0.26</v>
      </c>
      <c r="I18" s="2">
        <v>0.2466666666666667</v>
      </c>
      <c r="J18" s="2">
        <v>0.18333333333333329</v>
      </c>
      <c r="K18" s="2">
        <v>0</v>
      </c>
      <c r="L18" s="2">
        <v>0.1</v>
      </c>
      <c r="M18" s="2">
        <v>0.44666666666666671</v>
      </c>
      <c r="N18" s="2">
        <v>0.91453333333333342</v>
      </c>
      <c r="O18" s="2">
        <v>0.98</v>
      </c>
      <c r="P18" s="2">
        <v>0.4</v>
      </c>
      <c r="Q18" s="2">
        <v>0.79600000000000004</v>
      </c>
      <c r="R18" s="2">
        <v>0.54666666666666663</v>
      </c>
      <c r="S18" s="2">
        <v>0.63426666666666665</v>
      </c>
      <c r="T18" s="2">
        <v>1.073333333333333</v>
      </c>
      <c r="U18" s="2">
        <v>0.38666666666666671</v>
      </c>
      <c r="V18" s="2">
        <v>0.19733333333333331</v>
      </c>
      <c r="W18" s="2">
        <v>0</v>
      </c>
      <c r="X18" s="2">
        <v>0.1</v>
      </c>
    </row>
    <row r="19" spans="1:24" outlineLevel="2" x14ac:dyDescent="0.25">
      <c r="A19" s="1">
        <v>15600360</v>
      </c>
      <c r="B19" s="1" t="s">
        <v>24</v>
      </c>
      <c r="C19" s="1">
        <v>116649</v>
      </c>
      <c r="D19" s="1" t="s">
        <v>25</v>
      </c>
      <c r="E19" s="1">
        <v>254880</v>
      </c>
      <c r="F19" s="1" t="s">
        <v>230</v>
      </c>
      <c r="G19" s="4">
        <v>0.50392156862745097</v>
      </c>
      <c r="H19" s="2">
        <v>0.60666666666666669</v>
      </c>
      <c r="I19" s="2">
        <v>9.3333333333333338E-2</v>
      </c>
      <c r="J19" s="2">
        <v>0.49333333333333329</v>
      </c>
      <c r="K19" s="2">
        <v>0.3</v>
      </c>
      <c r="L19" s="2">
        <v>0.38666666666666671</v>
      </c>
      <c r="M19" s="2">
        <v>0.2</v>
      </c>
      <c r="N19" s="2">
        <v>0.29333333333333328</v>
      </c>
      <c r="O19" s="2">
        <v>0</v>
      </c>
      <c r="P19" s="2">
        <v>0.3</v>
      </c>
      <c r="Q19" s="2">
        <v>0.19</v>
      </c>
      <c r="R19" s="2">
        <v>0.3</v>
      </c>
      <c r="S19" s="2">
        <v>0.98666666666666669</v>
      </c>
      <c r="T19" s="2">
        <v>0.49</v>
      </c>
      <c r="U19" s="2">
        <v>0.8833333333333333</v>
      </c>
      <c r="V19" s="2">
        <v>1.19</v>
      </c>
      <c r="W19" s="2">
        <v>0.97</v>
      </c>
      <c r="X19" s="2">
        <v>0.8833333333333333</v>
      </c>
    </row>
    <row r="20" spans="1:24" outlineLevel="1" x14ac:dyDescent="0.25">
      <c r="A20" s="7" t="str">
        <f>A19&amp;" - "&amp;B19</f>
        <v>15600360 - O360 Managed Staff and OTS</v>
      </c>
      <c r="B20" s="7"/>
      <c r="C20" s="7"/>
      <c r="D20" s="7"/>
      <c r="E20" s="7"/>
      <c r="F20" s="7"/>
      <c r="G20" s="8">
        <f>SUBTOTAL(9,G16:G19)</f>
        <v>1.9889760348583876</v>
      </c>
      <c r="H20" s="8">
        <f>SUBTOTAL(9,H16:H19)</f>
        <v>2.3460000000000001</v>
      </c>
      <c r="I20" s="8">
        <f>SUBTOTAL(9,I16:I19)</f>
        <v>1.3585333333333334</v>
      </c>
      <c r="J20" s="8">
        <f>SUBTOTAL(9,J16:J19)</f>
        <v>1.5817333333333332</v>
      </c>
      <c r="K20" s="8">
        <f>SUBTOTAL(9,K16:K19)</f>
        <v>1.2850666666666668</v>
      </c>
      <c r="L20" s="8">
        <f>SUBTOTAL(9,L16:L19)</f>
        <v>1.6784000000000003</v>
      </c>
      <c r="M20" s="8">
        <f>SUBTOTAL(9,M16:M19)</f>
        <v>1.7555333333333334</v>
      </c>
      <c r="N20" s="8">
        <f>SUBTOTAL(9,N16:N19)</f>
        <v>1.6945333333333334</v>
      </c>
      <c r="O20" s="8">
        <f>SUBTOTAL(9,O16:O19)</f>
        <v>1.9877333333333334</v>
      </c>
      <c r="P20" s="8">
        <f>SUBTOTAL(9,P16:P19)</f>
        <v>2.15</v>
      </c>
      <c r="Q20" s="8">
        <f>SUBTOTAL(9,Q16:Q19)</f>
        <v>2.3797333333333337</v>
      </c>
      <c r="R20" s="8">
        <f>SUBTOTAL(9,R16:R19)</f>
        <v>1.9700000000000002</v>
      </c>
      <c r="S20" s="8">
        <f>SUBTOTAL(9,S16:S19)</f>
        <v>3.0054666666666665</v>
      </c>
      <c r="T20" s="8">
        <f>SUBTOTAL(9,T16:T19)</f>
        <v>1.7566666666666664</v>
      </c>
      <c r="U20" s="8">
        <f>SUBTOTAL(9,U16:U19)</f>
        <v>2.4270666666666667</v>
      </c>
      <c r="V20" s="8">
        <f>SUBTOTAL(9,V16:V19)</f>
        <v>1.7549333333333332</v>
      </c>
      <c r="W20" s="8">
        <f>SUBTOTAL(9,W16:W19)</f>
        <v>1.9302666666666666</v>
      </c>
      <c r="X20" s="8">
        <f>SUBTOTAL(9,X16:X19)</f>
        <v>2.9997333333333334</v>
      </c>
    </row>
    <row r="21" spans="1:24" outlineLevel="2" x14ac:dyDescent="0.25">
      <c r="A21" s="1">
        <v>15610030</v>
      </c>
      <c r="B21" s="1" t="s">
        <v>33</v>
      </c>
      <c r="C21" s="1">
        <v>108171</v>
      </c>
      <c r="D21" s="1" t="s">
        <v>134</v>
      </c>
      <c r="E21" s="1">
        <v>218441</v>
      </c>
      <c r="F21" s="1" t="s">
        <v>135</v>
      </c>
      <c r="G21" s="4">
        <v>9.87719298245614E-2</v>
      </c>
      <c r="H21" s="2">
        <v>0.06</v>
      </c>
      <c r="I21" s="2">
        <v>0.1711111111111111</v>
      </c>
      <c r="J21" s="2">
        <v>0.14000000000000001</v>
      </c>
      <c r="K21" s="2">
        <v>0.19833333333333331</v>
      </c>
      <c r="L21" s="2">
        <v>0.16444444444444439</v>
      </c>
      <c r="M21" s="2">
        <v>0.13</v>
      </c>
      <c r="N21" s="2">
        <v>0.1041666666666667</v>
      </c>
      <c r="O21" s="2">
        <v>4.7500000000000001E-2</v>
      </c>
      <c r="P21" s="2">
        <v>0.16222222222222221</v>
      </c>
      <c r="Q21" s="2">
        <v>0.11944444444444451</v>
      </c>
      <c r="R21" s="2">
        <v>0.1</v>
      </c>
      <c r="S21" s="2">
        <v>8.2777777777777783E-2</v>
      </c>
      <c r="T21" s="2">
        <v>0</v>
      </c>
      <c r="U21" s="2">
        <v>6.2424242424242417E-2</v>
      </c>
      <c r="V21" s="2">
        <v>9.5238095238095233E-2</v>
      </c>
      <c r="W21" s="2">
        <v>5.8000000000000003E-2</v>
      </c>
      <c r="X21" s="2">
        <v>8.0555555555555561E-2</v>
      </c>
    </row>
    <row r="22" spans="1:24" outlineLevel="2" x14ac:dyDescent="0.25">
      <c r="A22" s="1">
        <v>15610030</v>
      </c>
      <c r="B22" s="1" t="s">
        <v>33</v>
      </c>
      <c r="C22" s="1">
        <v>115242</v>
      </c>
      <c r="D22" s="1" t="s">
        <v>34</v>
      </c>
      <c r="E22" s="1">
        <v>237495</v>
      </c>
      <c r="F22" s="1" t="s">
        <v>35</v>
      </c>
      <c r="G22" s="4">
        <v>4.6433566433566442E-2</v>
      </c>
      <c r="H22" s="2">
        <v>4.0555555555555553E-2</v>
      </c>
      <c r="I22" s="2">
        <v>2.9333333333333329E-2</v>
      </c>
      <c r="J22" s="2">
        <v>6.7666666666666667E-2</v>
      </c>
      <c r="K22" s="2">
        <v>6.6666666666666666E-2</v>
      </c>
      <c r="L22" s="2">
        <v>4.1111111111111112E-2</v>
      </c>
      <c r="M22" s="2">
        <v>7.3333333333333334E-2</v>
      </c>
      <c r="N22" s="2">
        <v>6.8484848484848482E-2</v>
      </c>
      <c r="O22" s="2">
        <v>0</v>
      </c>
      <c r="P22" s="2">
        <v>0</v>
      </c>
      <c r="Q22" s="2">
        <v>3.2222222222222222E-2</v>
      </c>
      <c r="R22" s="2">
        <v>4.8333333333333332E-2</v>
      </c>
      <c r="S22" s="2">
        <v>4.7E-2</v>
      </c>
      <c r="T22" s="2">
        <v>0.03</v>
      </c>
      <c r="U22" s="2">
        <v>6.4444444444444443E-2</v>
      </c>
      <c r="V22" s="2">
        <v>5.5555555555555556E-4</v>
      </c>
      <c r="W22" s="2">
        <v>4.8333333333333332E-2</v>
      </c>
      <c r="X22" s="2">
        <v>4.296296296296296E-2</v>
      </c>
    </row>
    <row r="23" spans="1:24" outlineLevel="2" x14ac:dyDescent="0.25">
      <c r="A23" s="1">
        <v>15610030</v>
      </c>
      <c r="B23" s="1" t="s">
        <v>33</v>
      </c>
      <c r="C23" s="1">
        <v>115242</v>
      </c>
      <c r="D23" s="1" t="s">
        <v>34</v>
      </c>
      <c r="E23" s="1">
        <v>157306</v>
      </c>
      <c r="F23" s="1" t="s">
        <v>110</v>
      </c>
      <c r="G23" s="4">
        <v>4.6612903225806447E-2</v>
      </c>
      <c r="H23" s="2">
        <v>4.2424242424242427E-2</v>
      </c>
      <c r="I23" s="2">
        <v>6.8750000000000006E-2</v>
      </c>
      <c r="J23" s="2">
        <v>1.6111111111111111E-2</v>
      </c>
      <c r="K23" s="2">
        <v>0.22555555555555559</v>
      </c>
      <c r="L23" s="2">
        <v>6.2083333333333331E-2</v>
      </c>
      <c r="M23" s="2">
        <v>7.6296296296296293E-2</v>
      </c>
      <c r="N23" s="2">
        <v>0.06</v>
      </c>
      <c r="O23" s="2">
        <v>5.5238095238095239E-2</v>
      </c>
      <c r="P23" s="2">
        <v>4.8333333333333332E-2</v>
      </c>
      <c r="Q23" s="2">
        <v>4.4074074074074071E-2</v>
      </c>
      <c r="R23" s="2">
        <v>1.208333333333333E-2</v>
      </c>
      <c r="S23" s="2">
        <v>2.3333333333333331E-2</v>
      </c>
      <c r="T23" s="2">
        <v>0</v>
      </c>
      <c r="U23" s="2">
        <v>1.380952380952381E-2</v>
      </c>
      <c r="V23" s="2">
        <v>2.7619047619047619E-2</v>
      </c>
      <c r="W23" s="2">
        <v>1.9333333333333331E-2</v>
      </c>
      <c r="X23" s="2">
        <v>9.6666666666666665E-2</v>
      </c>
    </row>
    <row r="24" spans="1:24" outlineLevel="2" x14ac:dyDescent="0.25">
      <c r="A24" s="1">
        <v>15610030</v>
      </c>
      <c r="B24" s="1" t="s">
        <v>33</v>
      </c>
      <c r="C24" s="1">
        <v>115242</v>
      </c>
      <c r="D24" s="1" t="s">
        <v>34</v>
      </c>
      <c r="E24" s="1">
        <v>222589</v>
      </c>
      <c r="F24" s="1" t="s">
        <v>212</v>
      </c>
      <c r="G24" s="4">
        <v>6.6260869565217387E-2</v>
      </c>
      <c r="H24" s="2">
        <v>0.04</v>
      </c>
      <c r="I24" s="2">
        <v>8.0476190476190479E-2</v>
      </c>
      <c r="J24" s="2">
        <v>0.1293333333333333</v>
      </c>
      <c r="K24" s="2">
        <v>8.2380952380952374E-2</v>
      </c>
      <c r="L24" s="2">
        <v>7.6666666666666661E-2</v>
      </c>
      <c r="M24" s="2">
        <v>0.109047619047619</v>
      </c>
      <c r="N24" s="2">
        <v>9.6111111111111105E-2</v>
      </c>
      <c r="O24" s="2">
        <v>4.296296296296296E-2</v>
      </c>
      <c r="P24" s="2">
        <v>2.8333333333333328E-2</v>
      </c>
      <c r="Q24" s="2">
        <v>4.8333333333333332E-2</v>
      </c>
      <c r="R24" s="2">
        <v>9.6666666666666665E-2</v>
      </c>
      <c r="S24" s="2">
        <v>9.3333333333333338E-2</v>
      </c>
      <c r="T24" s="2">
        <v>1.555555555555556E-2</v>
      </c>
      <c r="U24" s="2">
        <v>5.6333333333333332E-2</v>
      </c>
      <c r="V24" s="2">
        <v>4.7500000000000001E-2</v>
      </c>
      <c r="W24" s="2">
        <v>7.2499999999999995E-2</v>
      </c>
      <c r="X24" s="2">
        <v>7.8888888888888883E-2</v>
      </c>
    </row>
    <row r="25" spans="1:24" outlineLevel="2" x14ac:dyDescent="0.25">
      <c r="A25" s="1">
        <v>15610030</v>
      </c>
      <c r="B25" s="1" t="s">
        <v>33</v>
      </c>
      <c r="C25" s="1">
        <v>115242</v>
      </c>
      <c r="D25" s="1" t="s">
        <v>34</v>
      </c>
      <c r="E25" s="1">
        <v>236660</v>
      </c>
      <c r="F25" s="1" t="s">
        <v>262</v>
      </c>
      <c r="G25" s="4">
        <v>5.4871794871794867E-2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0.10875</v>
      </c>
      <c r="N25" s="2">
        <v>6.1515151515151523E-2</v>
      </c>
      <c r="O25" s="2">
        <v>8.0277777777777781E-2</v>
      </c>
      <c r="P25" s="2">
        <v>5.2222222222222232E-2</v>
      </c>
      <c r="Q25" s="2">
        <v>0.02</v>
      </c>
      <c r="R25" s="2">
        <v>3.7692307692307692E-2</v>
      </c>
      <c r="S25" s="2">
        <v>6.1515151515151523E-2</v>
      </c>
      <c r="T25" s="2">
        <v>5.8000000000000003E-2</v>
      </c>
      <c r="U25" s="2">
        <v>6.3888888888888884E-2</v>
      </c>
      <c r="V25" s="2">
        <v>3.2222222222222222E-2</v>
      </c>
      <c r="W25" s="2">
        <v>5.5238095238095239E-2</v>
      </c>
      <c r="X25" s="2">
        <v>5.3636363636363628E-2</v>
      </c>
    </row>
    <row r="26" spans="1:24" outlineLevel="1" x14ac:dyDescent="0.25">
      <c r="A26" s="7" t="str">
        <f>A25&amp;" - "&amp;B25</f>
        <v>15610030 - NRSG - Float</v>
      </c>
      <c r="B26" s="7"/>
      <c r="C26" s="7"/>
      <c r="D26" s="7"/>
      <c r="E26" s="7"/>
      <c r="F26" s="7"/>
      <c r="G26" s="8">
        <f>SUBTOTAL(9,G21:G25)</f>
        <v>0.31295106392094657</v>
      </c>
      <c r="H26" s="8">
        <f>SUBTOTAL(9,H21:H25)</f>
        <v>0.18297979797979799</v>
      </c>
      <c r="I26" s="8">
        <f>SUBTOTAL(9,I21:I25)</f>
        <v>0.34967063492063488</v>
      </c>
      <c r="J26" s="8">
        <f>SUBTOTAL(9,J21:J25)</f>
        <v>0.35311111111111104</v>
      </c>
      <c r="K26" s="8">
        <f>SUBTOTAL(9,K21:K25)</f>
        <v>0.57293650793650786</v>
      </c>
      <c r="L26" s="8">
        <f>SUBTOTAL(9,L21:L25)</f>
        <v>0.34430555555555548</v>
      </c>
      <c r="M26" s="8">
        <f>SUBTOTAL(9,M21:M25)</f>
        <v>0.49742724867724863</v>
      </c>
      <c r="N26" s="8">
        <f>SUBTOTAL(9,N21:N25)</f>
        <v>0.39027777777777778</v>
      </c>
      <c r="O26" s="8">
        <f>SUBTOTAL(9,O21:O25)</f>
        <v>0.22597883597883597</v>
      </c>
      <c r="P26" s="8">
        <f>SUBTOTAL(9,P21:P25)</f>
        <v>0.2911111111111111</v>
      </c>
      <c r="Q26" s="8">
        <f>SUBTOTAL(9,Q21:Q25)</f>
        <v>0.26407407407407413</v>
      </c>
      <c r="R26" s="8">
        <f>SUBTOTAL(9,R21:R25)</f>
        <v>0.29477564102564102</v>
      </c>
      <c r="S26" s="8">
        <f>SUBTOTAL(9,S21:S25)</f>
        <v>0.30795959595959593</v>
      </c>
      <c r="T26" s="8">
        <f>SUBTOTAL(9,T21:T25)</f>
        <v>0.10355555555555557</v>
      </c>
      <c r="U26" s="8">
        <f>SUBTOTAL(9,U21:U25)</f>
        <v>0.26090043290043285</v>
      </c>
      <c r="V26" s="8">
        <f>SUBTOTAL(9,V21:V25)</f>
        <v>0.20313492063492061</v>
      </c>
      <c r="W26" s="8">
        <f>SUBTOTAL(9,W21:W25)</f>
        <v>0.25340476190476191</v>
      </c>
      <c r="X26" s="8">
        <f>SUBTOTAL(9,X21:X25)</f>
        <v>0.35271043771043775</v>
      </c>
    </row>
    <row r="27" spans="1:24" outlineLevel="2" x14ac:dyDescent="0.25">
      <c r="A27" s="1">
        <v>15611010</v>
      </c>
      <c r="B27" s="1" t="s">
        <v>239</v>
      </c>
      <c r="C27" s="1">
        <v>115242</v>
      </c>
      <c r="D27" s="1" t="s">
        <v>34</v>
      </c>
      <c r="E27" s="1">
        <v>156834</v>
      </c>
      <c r="F27" s="1" t="s">
        <v>240</v>
      </c>
      <c r="G27" s="4">
        <v>0.29492063492063492</v>
      </c>
      <c r="H27" s="2">
        <v>0.1466666666666667</v>
      </c>
      <c r="I27" s="2">
        <v>0.49</v>
      </c>
      <c r="J27" s="2">
        <v>0.29666666666666669</v>
      </c>
      <c r="K27" s="2">
        <v>0.29333333333333328</v>
      </c>
      <c r="L27" s="2">
        <v>0.16222222222222221</v>
      </c>
      <c r="M27" s="2">
        <v>0.29333333333333328</v>
      </c>
      <c r="N27" s="2">
        <v>0.39333333333333331</v>
      </c>
      <c r="O27" s="2">
        <v>0.39333333333333331</v>
      </c>
      <c r="P27" s="2">
        <v>0.29666666666666669</v>
      </c>
      <c r="Q27" s="2">
        <v>0.3</v>
      </c>
      <c r="R27" s="2">
        <v>0.39333333333333331</v>
      </c>
      <c r="S27" s="2">
        <v>0.29666666666666669</v>
      </c>
      <c r="T27" s="2">
        <v>0.19666666666666671</v>
      </c>
      <c r="U27" s="2">
        <v>0.29333333333333328</v>
      </c>
      <c r="V27" s="2">
        <v>0.39333333333333331</v>
      </c>
      <c r="W27" s="2">
        <v>0.39333333333333331</v>
      </c>
      <c r="X27" s="2">
        <v>0.39333333333333331</v>
      </c>
    </row>
    <row r="28" spans="1:24" outlineLevel="1" x14ac:dyDescent="0.25">
      <c r="A28" s="7" t="str">
        <f>A27&amp;" - "&amp;B27</f>
        <v>15611010 - NRSG - 5 Uris</v>
      </c>
      <c r="B28" s="7"/>
      <c r="C28" s="7"/>
      <c r="D28" s="7"/>
      <c r="E28" s="7"/>
      <c r="F28" s="7"/>
      <c r="G28" s="8">
        <f>SUBTOTAL(9,G27:G27)</f>
        <v>0.29492063492063492</v>
      </c>
      <c r="H28" s="8">
        <f>SUBTOTAL(9,H27:H27)</f>
        <v>0.1466666666666667</v>
      </c>
      <c r="I28" s="8">
        <f>SUBTOTAL(9,I27:I27)</f>
        <v>0.49</v>
      </c>
      <c r="J28" s="8">
        <f>SUBTOTAL(9,J27:J27)</f>
        <v>0.29666666666666669</v>
      </c>
      <c r="K28" s="8">
        <f>SUBTOTAL(9,K27:K27)</f>
        <v>0.29333333333333328</v>
      </c>
      <c r="L28" s="8">
        <f>SUBTOTAL(9,L27:L27)</f>
        <v>0.16222222222222221</v>
      </c>
      <c r="M28" s="8">
        <f>SUBTOTAL(9,M27:M27)</f>
        <v>0.29333333333333328</v>
      </c>
      <c r="N28" s="8">
        <f>SUBTOTAL(9,N27:N27)</f>
        <v>0.39333333333333331</v>
      </c>
      <c r="O28" s="8">
        <f>SUBTOTAL(9,O27:O27)</f>
        <v>0.39333333333333331</v>
      </c>
      <c r="P28" s="8">
        <f>SUBTOTAL(9,P27:P27)</f>
        <v>0.29666666666666669</v>
      </c>
      <c r="Q28" s="8">
        <f>SUBTOTAL(9,Q27:Q27)</f>
        <v>0.3</v>
      </c>
      <c r="R28" s="8">
        <f>SUBTOTAL(9,R27:R27)</f>
        <v>0.39333333333333331</v>
      </c>
      <c r="S28" s="8">
        <f>SUBTOTAL(9,S27:S27)</f>
        <v>0.29666666666666669</v>
      </c>
      <c r="T28" s="8">
        <f>SUBTOTAL(9,T27:T27)</f>
        <v>0.19666666666666671</v>
      </c>
      <c r="U28" s="8">
        <f>SUBTOTAL(9,U27:U27)</f>
        <v>0.29333333333333328</v>
      </c>
      <c r="V28" s="8">
        <f>SUBTOTAL(9,V27:V27)</f>
        <v>0.39333333333333331</v>
      </c>
      <c r="W28" s="8">
        <f>SUBTOTAL(9,W27:W27)</f>
        <v>0.39333333333333331</v>
      </c>
      <c r="X28" s="8">
        <f>SUBTOTAL(9,X27:X27)</f>
        <v>0.39333333333333331</v>
      </c>
    </row>
    <row r="29" spans="1:24" outlineLevel="2" x14ac:dyDescent="0.25">
      <c r="A29" s="1">
        <v>15611020</v>
      </c>
      <c r="B29" s="1" t="s">
        <v>97</v>
      </c>
      <c r="C29" s="1">
        <v>108637</v>
      </c>
      <c r="D29" s="1" t="s">
        <v>141</v>
      </c>
      <c r="E29" s="1">
        <v>157499</v>
      </c>
      <c r="F29" s="1" t="s">
        <v>145</v>
      </c>
      <c r="G29" s="4">
        <v>0.1656565656565657</v>
      </c>
      <c r="H29" s="2">
        <v>0.13111111111111109</v>
      </c>
      <c r="I29" s="2">
        <v>9.8333333333333328E-2</v>
      </c>
      <c r="J29" s="2">
        <v>9.7500000000000003E-2</v>
      </c>
      <c r="K29" s="2">
        <v>8.1666666666666665E-2</v>
      </c>
      <c r="L29" s="2">
        <v>0.22</v>
      </c>
      <c r="M29" s="2">
        <v>0.1166666666666667</v>
      </c>
      <c r="N29" s="2">
        <v>0.44</v>
      </c>
      <c r="O29" s="2">
        <v>0.2277777777777778</v>
      </c>
      <c r="P29" s="2">
        <v>9.6666666666666665E-2</v>
      </c>
      <c r="Q29" s="2">
        <v>0.19500000000000001</v>
      </c>
      <c r="R29" s="2">
        <v>0.39333333333333331</v>
      </c>
      <c r="S29" s="2">
        <v>0.22</v>
      </c>
      <c r="T29" s="2">
        <v>0.1633333333333333</v>
      </c>
      <c r="U29" s="2">
        <v>0.1247619047619048</v>
      </c>
      <c r="V29" s="2">
        <v>0.16444444444444439</v>
      </c>
      <c r="W29" s="2">
        <v>9.8333333333333328E-2</v>
      </c>
      <c r="X29" s="2">
        <v>0.26111111111111113</v>
      </c>
    </row>
    <row r="30" spans="1:24" outlineLevel="2" x14ac:dyDescent="0.25">
      <c r="A30" s="1">
        <v>15611020</v>
      </c>
      <c r="B30" s="1" t="s">
        <v>97</v>
      </c>
      <c r="C30" s="1">
        <v>115242</v>
      </c>
      <c r="D30" s="1" t="s">
        <v>34</v>
      </c>
      <c r="E30" s="1">
        <v>198654</v>
      </c>
      <c r="F30" s="1" t="s">
        <v>98</v>
      </c>
      <c r="G30" s="4">
        <v>0.17025252525252529</v>
      </c>
      <c r="H30" s="2">
        <v>0.47499999999999998</v>
      </c>
      <c r="I30" s="2">
        <v>9.1999999999999998E-2</v>
      </c>
      <c r="J30" s="2">
        <v>0.16111111111111109</v>
      </c>
      <c r="K30" s="2">
        <v>0.16428571428571431</v>
      </c>
      <c r="L30" s="2">
        <v>0.21583333333333329</v>
      </c>
      <c r="M30" s="2">
        <v>0.15</v>
      </c>
      <c r="N30" s="2">
        <v>0.22444444444444439</v>
      </c>
      <c r="O30" s="2">
        <v>0.1546666666666667</v>
      </c>
      <c r="P30" s="2">
        <v>0.1466666666666667</v>
      </c>
      <c r="Q30" s="2">
        <v>0.1933333333333333</v>
      </c>
      <c r="R30" s="2">
        <v>0.38</v>
      </c>
      <c r="S30" s="2">
        <v>0.19416666666666671</v>
      </c>
      <c r="T30" s="2">
        <v>0.48</v>
      </c>
      <c r="U30" s="2">
        <v>9.6666666666666665E-2</v>
      </c>
      <c r="V30" s="2">
        <v>0.1114285714285714</v>
      </c>
      <c r="W30" s="2">
        <v>0.14583333333333329</v>
      </c>
      <c r="X30" s="2">
        <v>0.1166666666666667</v>
      </c>
    </row>
    <row r="31" spans="1:24" outlineLevel="1" x14ac:dyDescent="0.25">
      <c r="A31" s="7" t="str">
        <f>A30&amp;" - "&amp;B30</f>
        <v>15611020 - NRSG - 5 Lachman</v>
      </c>
      <c r="B31" s="7"/>
      <c r="C31" s="7"/>
      <c r="D31" s="7"/>
      <c r="E31" s="7"/>
      <c r="F31" s="7"/>
      <c r="G31" s="8">
        <f>SUBTOTAL(9,G29:G30)</f>
        <v>0.33590909090909099</v>
      </c>
      <c r="H31" s="8">
        <f>SUBTOTAL(9,H29:H30)</f>
        <v>0.60611111111111104</v>
      </c>
      <c r="I31" s="8">
        <f>SUBTOTAL(9,I29:I30)</f>
        <v>0.19033333333333333</v>
      </c>
      <c r="J31" s="8">
        <f>SUBTOTAL(9,J29:J30)</f>
        <v>0.25861111111111112</v>
      </c>
      <c r="K31" s="8">
        <f>SUBTOTAL(9,K29:K30)</f>
        <v>0.24595238095238098</v>
      </c>
      <c r="L31" s="8">
        <f>SUBTOTAL(9,L29:L30)</f>
        <v>0.43583333333333329</v>
      </c>
      <c r="M31" s="8">
        <f>SUBTOTAL(9,M29:M30)</f>
        <v>0.26666666666666672</v>
      </c>
      <c r="N31" s="8">
        <f>SUBTOTAL(9,N29:N30)</f>
        <v>0.66444444444444439</v>
      </c>
      <c r="O31" s="8">
        <f>SUBTOTAL(9,O29:O30)</f>
        <v>0.38244444444444448</v>
      </c>
      <c r="P31" s="8">
        <f>SUBTOTAL(9,P29:P30)</f>
        <v>0.24333333333333335</v>
      </c>
      <c r="Q31" s="8">
        <f>SUBTOTAL(9,Q29:Q30)</f>
        <v>0.38833333333333331</v>
      </c>
      <c r="R31" s="8">
        <f>SUBTOTAL(9,R29:R30)</f>
        <v>0.77333333333333332</v>
      </c>
      <c r="S31" s="8">
        <f>SUBTOTAL(9,S29:S30)</f>
        <v>0.41416666666666668</v>
      </c>
      <c r="T31" s="8">
        <f>SUBTOTAL(9,T29:T30)</f>
        <v>0.64333333333333331</v>
      </c>
      <c r="U31" s="8">
        <f>SUBTOTAL(9,U29:U30)</f>
        <v>0.22142857142857147</v>
      </c>
      <c r="V31" s="8">
        <f>SUBTOTAL(9,V29:V30)</f>
        <v>0.27587301587301583</v>
      </c>
      <c r="W31" s="8">
        <f>SUBTOTAL(9,W29:W30)</f>
        <v>0.24416666666666662</v>
      </c>
      <c r="X31" s="8">
        <f>SUBTOTAL(9,X29:X30)</f>
        <v>0.37777777777777782</v>
      </c>
    </row>
    <row r="32" spans="1:24" outlineLevel="2" x14ac:dyDescent="0.25">
      <c r="A32" s="1">
        <v>15611055</v>
      </c>
      <c r="B32" s="1" t="s">
        <v>210</v>
      </c>
      <c r="C32" s="1">
        <v>108102</v>
      </c>
      <c r="D32" s="1" t="s">
        <v>48</v>
      </c>
      <c r="E32" s="1">
        <v>208462</v>
      </c>
      <c r="F32" s="1" t="s">
        <v>211</v>
      </c>
      <c r="G32" s="4">
        <v>0.15954954954954961</v>
      </c>
      <c r="H32" s="2">
        <v>8.7777777777777774E-2</v>
      </c>
      <c r="I32" s="2">
        <v>7.166666666666667E-2</v>
      </c>
      <c r="J32" s="2">
        <v>6.5000000000000002E-2</v>
      </c>
      <c r="K32" s="2">
        <v>0.13666666666666669</v>
      </c>
      <c r="L32" s="2">
        <v>8.8888888888888892E-2</v>
      </c>
      <c r="M32" s="2">
        <v>8.8888888888888892E-2</v>
      </c>
      <c r="N32" s="2">
        <v>0.19833333333333331</v>
      </c>
      <c r="O32" s="2">
        <v>0.1822222222222222</v>
      </c>
      <c r="P32" s="2">
        <v>0.13666666666666669</v>
      </c>
      <c r="Q32" s="2">
        <v>0.13666666666666669</v>
      </c>
      <c r="R32" s="2">
        <v>0.12666666666666671</v>
      </c>
      <c r="S32" s="2">
        <v>0.19166666666666671</v>
      </c>
      <c r="T32" s="2">
        <v>0.2116666666666667</v>
      </c>
      <c r="U32" s="2">
        <v>0.3</v>
      </c>
      <c r="V32" s="2">
        <v>0.27333333333333332</v>
      </c>
      <c r="W32" s="2">
        <v>0.14000000000000001</v>
      </c>
      <c r="X32" s="2">
        <v>0.44166666666666671</v>
      </c>
    </row>
    <row r="33" spans="1:24" outlineLevel="1" x14ac:dyDescent="0.25">
      <c r="A33" s="7" t="str">
        <f>A32&amp;" - "&amp;B32</f>
        <v>15611055 - NRSG - Cardiac cath</v>
      </c>
      <c r="B33" s="7"/>
      <c r="C33" s="7"/>
      <c r="D33" s="7"/>
      <c r="E33" s="7"/>
      <c r="F33" s="7"/>
      <c r="G33" s="8">
        <f>SUBTOTAL(9,G32:G32)</f>
        <v>0.15954954954954961</v>
      </c>
      <c r="H33" s="8">
        <f>SUBTOTAL(9,H32:H32)</f>
        <v>8.7777777777777774E-2</v>
      </c>
      <c r="I33" s="8">
        <f>SUBTOTAL(9,I32:I32)</f>
        <v>7.166666666666667E-2</v>
      </c>
      <c r="J33" s="8">
        <f>SUBTOTAL(9,J32:J32)</f>
        <v>6.5000000000000002E-2</v>
      </c>
      <c r="K33" s="8">
        <f>SUBTOTAL(9,K32:K32)</f>
        <v>0.13666666666666669</v>
      </c>
      <c r="L33" s="8">
        <f>SUBTOTAL(9,L32:L32)</f>
        <v>8.8888888888888892E-2</v>
      </c>
      <c r="M33" s="8">
        <f>SUBTOTAL(9,M32:M32)</f>
        <v>8.8888888888888892E-2</v>
      </c>
      <c r="N33" s="8">
        <f>SUBTOTAL(9,N32:N32)</f>
        <v>0.19833333333333331</v>
      </c>
      <c r="O33" s="8">
        <f>SUBTOTAL(9,O32:O32)</f>
        <v>0.1822222222222222</v>
      </c>
      <c r="P33" s="8">
        <f>SUBTOTAL(9,P32:P32)</f>
        <v>0.13666666666666669</v>
      </c>
      <c r="Q33" s="8">
        <f>SUBTOTAL(9,Q32:Q32)</f>
        <v>0.13666666666666669</v>
      </c>
      <c r="R33" s="8">
        <f>SUBTOTAL(9,R32:R32)</f>
        <v>0.12666666666666671</v>
      </c>
      <c r="S33" s="8">
        <f>SUBTOTAL(9,S32:S32)</f>
        <v>0.19166666666666671</v>
      </c>
      <c r="T33" s="8">
        <f>SUBTOTAL(9,T32:T32)</f>
        <v>0.2116666666666667</v>
      </c>
      <c r="U33" s="8">
        <f>SUBTOTAL(9,U32:U32)</f>
        <v>0.3</v>
      </c>
      <c r="V33" s="8">
        <f>SUBTOTAL(9,V32:V32)</f>
        <v>0.27333333333333332</v>
      </c>
      <c r="W33" s="8">
        <f>SUBTOTAL(9,W32:W32)</f>
        <v>0.14000000000000001</v>
      </c>
      <c r="X33" s="8">
        <f>SUBTOTAL(9,X32:X32)</f>
        <v>0.44166666666666671</v>
      </c>
    </row>
    <row r="34" spans="1:24" outlineLevel="2" x14ac:dyDescent="0.25">
      <c r="A34" s="1">
        <v>15612020</v>
      </c>
      <c r="B34" s="1" t="s">
        <v>82</v>
      </c>
      <c r="C34" s="1">
        <v>108102</v>
      </c>
      <c r="D34" s="1" t="s">
        <v>48</v>
      </c>
      <c r="E34" s="1">
        <v>156546</v>
      </c>
      <c r="F34" s="1" t="s">
        <v>83</v>
      </c>
      <c r="G34" s="4">
        <v>0.47705882352941181</v>
      </c>
      <c r="H34" s="2">
        <v>0.15333333333333329</v>
      </c>
      <c r="I34" s="2">
        <v>0</v>
      </c>
      <c r="J34" s="2">
        <v>0</v>
      </c>
      <c r="K34" s="2">
        <v>0</v>
      </c>
      <c r="L34" s="2">
        <v>0.46</v>
      </c>
      <c r="M34" s="2">
        <v>0.64</v>
      </c>
      <c r="N34" s="2">
        <v>0.61333333333333329</v>
      </c>
      <c r="O34" s="2">
        <v>0.61333333333333329</v>
      </c>
      <c r="P34" s="2">
        <v>0.47333333333333327</v>
      </c>
      <c r="Q34" s="2">
        <v>0.79333333333333333</v>
      </c>
      <c r="R34" s="2">
        <v>0.46</v>
      </c>
      <c r="S34" s="2">
        <v>0.65333333333333332</v>
      </c>
      <c r="T34" s="2">
        <v>0.64</v>
      </c>
      <c r="U34" s="2">
        <v>0.66666666666666663</v>
      </c>
      <c r="V34" s="2">
        <v>0.80333333333333334</v>
      </c>
      <c r="W34" s="2">
        <v>0.47333333333333327</v>
      </c>
      <c r="X34" s="2">
        <v>0.66666666666666663</v>
      </c>
    </row>
    <row r="35" spans="1:24" outlineLevel="2" x14ac:dyDescent="0.25">
      <c r="A35" s="1">
        <v>15612020</v>
      </c>
      <c r="B35" s="1" t="s">
        <v>82</v>
      </c>
      <c r="C35" s="1">
        <v>115242</v>
      </c>
      <c r="D35" s="1" t="s">
        <v>34</v>
      </c>
      <c r="E35" s="1">
        <v>440239</v>
      </c>
      <c r="F35" s="1" t="s">
        <v>163</v>
      </c>
      <c r="G35" s="4">
        <v>0.34440476190476188</v>
      </c>
      <c r="H35" s="2">
        <v>0.1633333333333333</v>
      </c>
      <c r="I35" s="2">
        <v>0.2416666666666667</v>
      </c>
      <c r="J35" s="2">
        <v>0.25444444444444442</v>
      </c>
      <c r="K35" s="2">
        <v>0.24</v>
      </c>
      <c r="L35" s="2">
        <v>0.22555555555555559</v>
      </c>
      <c r="M35" s="2">
        <v>0.58333333333333337</v>
      </c>
      <c r="N35" s="2">
        <v>0.57666666666666666</v>
      </c>
      <c r="O35" s="2">
        <v>0.68</v>
      </c>
      <c r="P35" s="2">
        <v>0.67666666666666664</v>
      </c>
      <c r="Q35" s="2">
        <v>0.33833333333333332</v>
      </c>
      <c r="R35" s="2">
        <v>0.67666666666666664</v>
      </c>
      <c r="S35" s="2">
        <v>0.65666666666666662</v>
      </c>
      <c r="T35" s="2">
        <v>0.1933333333333333</v>
      </c>
      <c r="U35" s="2">
        <v>0.26500000000000001</v>
      </c>
      <c r="V35" s="2">
        <v>0.2416666666666667</v>
      </c>
      <c r="W35" s="2">
        <v>0.68333333333333335</v>
      </c>
      <c r="X35" s="2">
        <v>0.24833333333333329</v>
      </c>
    </row>
    <row r="36" spans="1:24" outlineLevel="1" x14ac:dyDescent="0.25">
      <c r="A36" s="7" t="str">
        <f>A35&amp;" - "&amp;B35</f>
        <v>15612020 - NRSG - Labor and Delivery</v>
      </c>
      <c r="B36" s="7"/>
      <c r="C36" s="7"/>
      <c r="D36" s="7"/>
      <c r="E36" s="7"/>
      <c r="F36" s="7"/>
      <c r="G36" s="8">
        <f>SUBTOTAL(9,G34:G35)</f>
        <v>0.82146358543417364</v>
      </c>
      <c r="H36" s="8">
        <f>SUBTOTAL(9,H34:H35)</f>
        <v>0.3166666666666666</v>
      </c>
      <c r="I36" s="8">
        <f>SUBTOTAL(9,I34:I35)</f>
        <v>0.2416666666666667</v>
      </c>
      <c r="J36" s="8">
        <f>SUBTOTAL(9,J34:J35)</f>
        <v>0.25444444444444442</v>
      </c>
      <c r="K36" s="8">
        <f>SUBTOTAL(9,K34:K35)</f>
        <v>0.24</v>
      </c>
      <c r="L36" s="8">
        <f>SUBTOTAL(9,L34:L35)</f>
        <v>0.68555555555555558</v>
      </c>
      <c r="M36" s="8">
        <f>SUBTOTAL(9,M34:M35)</f>
        <v>1.2233333333333334</v>
      </c>
      <c r="N36" s="8">
        <f>SUBTOTAL(9,N34:N35)</f>
        <v>1.19</v>
      </c>
      <c r="O36" s="8">
        <f>SUBTOTAL(9,O34:O35)</f>
        <v>1.2933333333333334</v>
      </c>
      <c r="P36" s="8">
        <f>SUBTOTAL(9,P34:P35)</f>
        <v>1.1499999999999999</v>
      </c>
      <c r="Q36" s="8">
        <f>SUBTOTAL(9,Q34:Q35)</f>
        <v>1.1316666666666666</v>
      </c>
      <c r="R36" s="8">
        <f>SUBTOTAL(9,R34:R35)</f>
        <v>1.1366666666666667</v>
      </c>
      <c r="S36" s="8">
        <f>SUBTOTAL(9,S34:S35)</f>
        <v>1.31</v>
      </c>
      <c r="T36" s="8">
        <f>SUBTOTAL(9,T34:T35)</f>
        <v>0.83333333333333326</v>
      </c>
      <c r="U36" s="8">
        <f>SUBTOTAL(9,U34:U35)</f>
        <v>0.93166666666666664</v>
      </c>
      <c r="V36" s="8">
        <f>SUBTOTAL(9,V34:V35)</f>
        <v>1.0449999999999999</v>
      </c>
      <c r="W36" s="8">
        <f>SUBTOTAL(9,W34:W35)</f>
        <v>1.1566666666666667</v>
      </c>
      <c r="X36" s="8">
        <f>SUBTOTAL(9,X34:X35)</f>
        <v>0.91499999999999992</v>
      </c>
    </row>
    <row r="37" spans="1:24" outlineLevel="2" x14ac:dyDescent="0.25">
      <c r="A37" s="1">
        <v>15612065</v>
      </c>
      <c r="B37" s="1" t="s">
        <v>66</v>
      </c>
      <c r="C37" s="1">
        <v>108102</v>
      </c>
      <c r="D37" s="1" t="s">
        <v>48</v>
      </c>
      <c r="E37" s="1">
        <v>158213</v>
      </c>
      <c r="F37" s="1" t="s">
        <v>118</v>
      </c>
      <c r="G37" s="4">
        <v>0.44333333333333341</v>
      </c>
      <c r="H37" s="2">
        <v>0.29333333333333328</v>
      </c>
      <c r="I37" s="2">
        <v>0.47333333333333327</v>
      </c>
      <c r="J37" s="2">
        <v>0.46</v>
      </c>
      <c r="K37" s="2">
        <v>0.60666666666666669</v>
      </c>
      <c r="L37" s="2">
        <v>0.78</v>
      </c>
      <c r="M37" s="2">
        <v>0.6166666666666667</v>
      </c>
      <c r="N37" s="2">
        <v>0.46333333333333332</v>
      </c>
      <c r="O37" s="2">
        <v>0.46666666666666667</v>
      </c>
      <c r="P37" s="2">
        <v>0.61333333333333329</v>
      </c>
      <c r="Q37" s="2">
        <v>0.61333333333333329</v>
      </c>
      <c r="R37" s="2">
        <v>0.30666666666666659</v>
      </c>
      <c r="S37" s="2">
        <v>0.30666666666666659</v>
      </c>
      <c r="T37" s="2">
        <v>0</v>
      </c>
      <c r="U37" s="2">
        <v>0.15333333333333329</v>
      </c>
      <c r="V37" s="2">
        <v>0.46</v>
      </c>
      <c r="W37" s="2">
        <v>0.15333333333333329</v>
      </c>
      <c r="X37" s="2">
        <v>0.77</v>
      </c>
    </row>
    <row r="38" spans="1:24" outlineLevel="2" x14ac:dyDescent="0.25">
      <c r="A38" s="1">
        <v>15612065</v>
      </c>
      <c r="B38" s="1" t="s">
        <v>66</v>
      </c>
      <c r="C38" s="1">
        <v>108637</v>
      </c>
      <c r="D38" s="1" t="s">
        <v>141</v>
      </c>
      <c r="E38" s="1">
        <v>220699</v>
      </c>
      <c r="F38" s="1" t="s">
        <v>142</v>
      </c>
      <c r="G38" s="4">
        <v>0.18585858585858589</v>
      </c>
      <c r="H38" s="2">
        <v>0.4</v>
      </c>
      <c r="I38" s="2">
        <v>0.29666666666666669</v>
      </c>
      <c r="J38" s="2">
        <v>0</v>
      </c>
      <c r="K38" s="2">
        <v>0</v>
      </c>
      <c r="L38" s="2">
        <v>0.38666666666666671</v>
      </c>
      <c r="M38" s="2">
        <v>0.34333333333333332</v>
      </c>
      <c r="N38" s="2">
        <v>4.8333333333333332E-2</v>
      </c>
      <c r="O38" s="2">
        <v>0.1166666666666667</v>
      </c>
      <c r="P38" s="2">
        <v>0.28499999999999998</v>
      </c>
      <c r="Q38" s="2">
        <v>0.15777777777777779</v>
      </c>
      <c r="R38" s="2">
        <v>0.23166666666666669</v>
      </c>
      <c r="S38" s="2">
        <v>0.14166666666666669</v>
      </c>
      <c r="T38" s="2">
        <v>0.29333333333333328</v>
      </c>
      <c r="U38" s="2">
        <v>0.08</v>
      </c>
      <c r="V38" s="2">
        <v>0.28833333333333327</v>
      </c>
      <c r="W38" s="2">
        <v>0.14166666666666669</v>
      </c>
      <c r="X38" s="2">
        <v>0.12083333333333331</v>
      </c>
    </row>
    <row r="39" spans="1:24" outlineLevel="2" x14ac:dyDescent="0.25">
      <c r="A39" s="1">
        <v>15612065</v>
      </c>
      <c r="B39" s="1" t="s">
        <v>66</v>
      </c>
      <c r="C39" s="1">
        <v>108637</v>
      </c>
      <c r="D39" s="1" t="s">
        <v>141</v>
      </c>
      <c r="E39" s="1">
        <v>157667</v>
      </c>
      <c r="F39" s="1" t="s">
        <v>261</v>
      </c>
      <c r="G39" s="4">
        <v>0.22600000000000001</v>
      </c>
      <c r="H39" s="2">
        <v>0.26833333333333331</v>
      </c>
      <c r="I39" s="2">
        <v>0.43666666666666659</v>
      </c>
      <c r="J39" s="2">
        <v>9.5000000000000001E-2</v>
      </c>
      <c r="K39" s="2">
        <v>0.38</v>
      </c>
      <c r="L39" s="2">
        <v>0.18</v>
      </c>
      <c r="M39" s="2">
        <v>0</v>
      </c>
      <c r="N39" s="2">
        <v>0</v>
      </c>
      <c r="O39" s="2">
        <v>4.6666666666666669E-2</v>
      </c>
      <c r="P39" s="2">
        <v>0.28499999999999998</v>
      </c>
      <c r="Q39" s="2">
        <v>0.19</v>
      </c>
      <c r="R39" s="2">
        <v>0.47666666666666668</v>
      </c>
      <c r="S39" s="2">
        <v>0.23499999999999999</v>
      </c>
      <c r="T39" s="2">
        <v>0.28000000000000003</v>
      </c>
      <c r="U39" s="2">
        <v>0.63666666666666671</v>
      </c>
      <c r="V39" s="2">
        <v>0.64666666666666661</v>
      </c>
      <c r="W39" s="2">
        <v>0.14000000000000001</v>
      </c>
      <c r="X39" s="2">
        <v>9.5000000000000001E-2</v>
      </c>
    </row>
    <row r="40" spans="1:24" outlineLevel="2" x14ac:dyDescent="0.25">
      <c r="A40" s="1">
        <v>15612065</v>
      </c>
      <c r="B40" s="1" t="s">
        <v>66</v>
      </c>
      <c r="C40" s="1">
        <v>115242</v>
      </c>
      <c r="D40" s="1" t="s">
        <v>34</v>
      </c>
      <c r="E40" s="1">
        <v>215819</v>
      </c>
      <c r="F40" s="1" t="s">
        <v>67</v>
      </c>
      <c r="G40" s="4">
        <v>0.23552083333333329</v>
      </c>
      <c r="H40" s="2">
        <v>0.28999999999999998</v>
      </c>
      <c r="I40" s="2">
        <v>0.46666666666666667</v>
      </c>
      <c r="J40" s="2">
        <v>0.17249999999999999</v>
      </c>
      <c r="K40" s="2">
        <v>0.29666666666666669</v>
      </c>
      <c r="L40" s="2">
        <v>0.48666666666666669</v>
      </c>
      <c r="M40" s="2">
        <v>0.14333333333333331</v>
      </c>
      <c r="N40" s="2">
        <v>0.59</v>
      </c>
      <c r="O40" s="2">
        <v>0.19</v>
      </c>
      <c r="P40" s="2">
        <v>0.19</v>
      </c>
      <c r="Q40" s="2">
        <v>0.20666666666666669</v>
      </c>
      <c r="R40" s="2">
        <v>0.47</v>
      </c>
      <c r="S40" s="2">
        <v>0.12555555555555559</v>
      </c>
      <c r="T40" s="2">
        <v>0.28833333333333327</v>
      </c>
      <c r="U40" s="2">
        <v>0.28666666666666668</v>
      </c>
      <c r="V40" s="2">
        <v>0</v>
      </c>
      <c r="W40" s="2">
        <v>0.17</v>
      </c>
      <c r="X40" s="2">
        <v>0.215</v>
      </c>
    </row>
    <row r="41" spans="1:24" outlineLevel="1" x14ac:dyDescent="0.25">
      <c r="A41" s="7" t="str">
        <f>A40&amp;" - "&amp;B40</f>
        <v>15612065 - NRSG - 6 Uris</v>
      </c>
      <c r="B41" s="7"/>
      <c r="C41" s="7"/>
      <c r="D41" s="7"/>
      <c r="E41" s="7"/>
      <c r="F41" s="7"/>
      <c r="G41" s="8">
        <f>SUBTOTAL(9,G37:G40)</f>
        <v>1.0907127525252527</v>
      </c>
      <c r="H41" s="8">
        <f>SUBTOTAL(9,H37:H40)</f>
        <v>1.2516666666666667</v>
      </c>
      <c r="I41" s="8">
        <f>SUBTOTAL(9,I37:I40)</f>
        <v>1.6733333333333333</v>
      </c>
      <c r="J41" s="8">
        <f>SUBTOTAL(9,J37:J40)</f>
        <v>0.72750000000000004</v>
      </c>
      <c r="K41" s="8">
        <f>SUBTOTAL(9,K37:K40)</f>
        <v>1.2833333333333334</v>
      </c>
      <c r="L41" s="8">
        <f>SUBTOTAL(9,L37:L40)</f>
        <v>1.8333333333333335</v>
      </c>
      <c r="M41" s="8">
        <f>SUBTOTAL(9,M37:M40)</f>
        <v>1.1033333333333333</v>
      </c>
      <c r="N41" s="8">
        <f>SUBTOTAL(9,N37:N40)</f>
        <v>1.1016666666666666</v>
      </c>
      <c r="O41" s="8">
        <f>SUBTOTAL(9,O37:O40)</f>
        <v>0.82000000000000006</v>
      </c>
      <c r="P41" s="8">
        <f>SUBTOTAL(9,P37:P40)</f>
        <v>1.3733333333333331</v>
      </c>
      <c r="Q41" s="8">
        <f>SUBTOTAL(9,Q37:Q40)</f>
        <v>1.1677777777777778</v>
      </c>
      <c r="R41" s="8">
        <f>SUBTOTAL(9,R37:R40)</f>
        <v>1.4850000000000001</v>
      </c>
      <c r="S41" s="8">
        <f>SUBTOTAL(9,S37:S40)</f>
        <v>0.80888888888888877</v>
      </c>
      <c r="T41" s="8">
        <f>SUBTOTAL(9,T37:T40)</f>
        <v>0.86166666666666658</v>
      </c>
      <c r="U41" s="8">
        <f>SUBTOTAL(9,U37:U40)</f>
        <v>1.1566666666666667</v>
      </c>
      <c r="V41" s="8">
        <f>SUBTOTAL(9,V37:V40)</f>
        <v>1.395</v>
      </c>
      <c r="W41" s="8">
        <f>SUBTOTAL(9,W37:W40)</f>
        <v>0.60499999999999998</v>
      </c>
      <c r="X41" s="8">
        <f>SUBTOTAL(9,X37:X40)</f>
        <v>1.2008333333333334</v>
      </c>
    </row>
    <row r="42" spans="1:24" outlineLevel="2" x14ac:dyDescent="0.25">
      <c r="A42" s="1">
        <v>15613015</v>
      </c>
      <c r="B42" s="1" t="s">
        <v>58</v>
      </c>
      <c r="C42" s="1">
        <v>115242</v>
      </c>
      <c r="D42" s="1" t="s">
        <v>34</v>
      </c>
      <c r="E42" s="1">
        <v>446161</v>
      </c>
      <c r="F42" s="1" t="s">
        <v>59</v>
      </c>
      <c r="G42" s="4">
        <v>0.2049593495934959</v>
      </c>
      <c r="H42" s="2">
        <v>0.67666666666666664</v>
      </c>
      <c r="I42" s="2">
        <v>0.14499999999999999</v>
      </c>
      <c r="J42" s="2">
        <v>0.1933333333333333</v>
      </c>
      <c r="K42" s="2">
        <v>0.33666666666666673</v>
      </c>
      <c r="L42" s="2">
        <v>4.8333333333333332E-2</v>
      </c>
      <c r="M42" s="2">
        <v>0.2416666666666667</v>
      </c>
      <c r="N42" s="2">
        <v>0.2416666666666667</v>
      </c>
      <c r="O42" s="2">
        <v>0.25777777777777777</v>
      </c>
      <c r="P42" s="2">
        <v>0.2416666666666667</v>
      </c>
      <c r="Q42" s="2">
        <v>0.11600000000000001</v>
      </c>
      <c r="R42" s="2">
        <v>0.28999999999999998</v>
      </c>
      <c r="S42" s="2">
        <v>0.1277777777777778</v>
      </c>
      <c r="T42" s="2">
        <v>0.28999999999999998</v>
      </c>
      <c r="U42" s="2">
        <v>0.28999999999999998</v>
      </c>
      <c r="V42" s="2">
        <v>0.2416666666666667</v>
      </c>
      <c r="W42" s="2">
        <v>0.2416666666666667</v>
      </c>
      <c r="X42" s="2">
        <v>0.2416666666666667</v>
      </c>
    </row>
    <row r="43" spans="1:24" outlineLevel="2" x14ac:dyDescent="0.25">
      <c r="A43" s="1">
        <v>15613015</v>
      </c>
      <c r="B43" s="1" t="s">
        <v>58</v>
      </c>
      <c r="C43" s="1">
        <v>115242</v>
      </c>
      <c r="D43" s="1" t="s">
        <v>34</v>
      </c>
      <c r="E43" s="1">
        <v>489192</v>
      </c>
      <c r="F43" s="1" t="s">
        <v>194</v>
      </c>
      <c r="G43" s="4">
        <v>0.24384615384615391</v>
      </c>
      <c r="H43" s="2">
        <v>0.77666666666666662</v>
      </c>
      <c r="I43" s="2">
        <v>3.111111111111111E-2</v>
      </c>
      <c r="J43" s="2">
        <v>0</v>
      </c>
      <c r="K43" s="2">
        <v>0</v>
      </c>
      <c r="L43" s="2">
        <v>0</v>
      </c>
      <c r="M43" s="2">
        <v>0.2911111111111111</v>
      </c>
      <c r="N43" s="2">
        <v>0.22444444444444439</v>
      </c>
      <c r="O43" s="2">
        <v>0.26750000000000002</v>
      </c>
      <c r="P43" s="2">
        <v>0.39</v>
      </c>
      <c r="Q43" s="2">
        <v>0.26916666666666672</v>
      </c>
      <c r="R43" s="2">
        <v>0.19666666666666671</v>
      </c>
      <c r="S43" s="2">
        <v>0.25777777777777777</v>
      </c>
      <c r="T43" s="2">
        <v>0.14499999999999999</v>
      </c>
      <c r="U43" s="2">
        <v>0.19444444444444439</v>
      </c>
      <c r="V43" s="2">
        <v>0.1546666666666667</v>
      </c>
      <c r="W43" s="2">
        <v>0.87333333333333329</v>
      </c>
      <c r="X43" s="2">
        <v>0.67666666666666664</v>
      </c>
    </row>
    <row r="44" spans="1:24" outlineLevel="2" x14ac:dyDescent="0.25">
      <c r="A44" s="1">
        <v>15613015</v>
      </c>
      <c r="B44" s="1" t="s">
        <v>58</v>
      </c>
      <c r="C44" s="1">
        <v>115242</v>
      </c>
      <c r="D44" s="1" t="s">
        <v>34</v>
      </c>
      <c r="E44" s="1">
        <v>551057</v>
      </c>
      <c r="F44" s="1" t="s">
        <v>256</v>
      </c>
      <c r="G44" s="4">
        <v>0.17027210884353741</v>
      </c>
      <c r="H44" s="2">
        <v>0.2416666666666667</v>
      </c>
      <c r="I44" s="2">
        <v>9.7777777777777783E-2</v>
      </c>
      <c r="J44" s="2">
        <v>0.16500000000000001</v>
      </c>
      <c r="K44" s="2">
        <v>0.14583333333333329</v>
      </c>
      <c r="L44" s="2">
        <v>0.16222222222222221</v>
      </c>
      <c r="M44" s="2">
        <v>9.3333333333333338E-2</v>
      </c>
      <c r="N44" s="2">
        <v>0.114</v>
      </c>
      <c r="O44" s="2">
        <v>0.13</v>
      </c>
      <c r="P44" s="2">
        <v>0.29166666666666669</v>
      </c>
      <c r="Q44" s="2">
        <v>0.13666666666666669</v>
      </c>
      <c r="R44" s="2">
        <v>0.48666666666666669</v>
      </c>
      <c r="S44" s="2">
        <v>0.28999999999999998</v>
      </c>
      <c r="T44" s="2">
        <v>0.16444444444444439</v>
      </c>
      <c r="U44" s="2">
        <v>0.1138888888888889</v>
      </c>
      <c r="V44" s="2">
        <v>9.6666666666666665E-2</v>
      </c>
      <c r="W44" s="2">
        <v>0.94666666666666666</v>
      </c>
      <c r="X44" s="2">
        <v>9.6666666666666665E-2</v>
      </c>
    </row>
    <row r="45" spans="1:24" outlineLevel="1" x14ac:dyDescent="0.25">
      <c r="A45" s="7" t="str">
        <f>A44&amp;" - "&amp;B44</f>
        <v>15613015 - NRSG - 4 Uris</v>
      </c>
      <c r="B45" s="7"/>
      <c r="C45" s="7"/>
      <c r="D45" s="7"/>
      <c r="E45" s="7"/>
      <c r="F45" s="7"/>
      <c r="G45" s="8">
        <f>SUBTOTAL(9,G42:G44)</f>
        <v>0.61907761228318725</v>
      </c>
      <c r="H45" s="8">
        <f>SUBTOTAL(9,H42:H44)</f>
        <v>1.6949999999999998</v>
      </c>
      <c r="I45" s="8">
        <f>SUBTOTAL(9,I42:I44)</f>
        <v>0.2738888888888889</v>
      </c>
      <c r="J45" s="8">
        <f>SUBTOTAL(9,J42:J44)</f>
        <v>0.35833333333333328</v>
      </c>
      <c r="K45" s="8">
        <f>SUBTOTAL(9,K42:K44)</f>
        <v>0.48250000000000004</v>
      </c>
      <c r="L45" s="8">
        <f>SUBTOTAL(9,L42:L44)</f>
        <v>0.21055555555555555</v>
      </c>
      <c r="M45" s="8">
        <f>SUBTOTAL(9,M42:M44)</f>
        <v>0.62611111111111117</v>
      </c>
      <c r="N45" s="8">
        <f>SUBTOTAL(9,N42:N44)</f>
        <v>0.58011111111111113</v>
      </c>
      <c r="O45" s="8">
        <f>SUBTOTAL(9,O42:O44)</f>
        <v>0.65527777777777774</v>
      </c>
      <c r="P45" s="8">
        <f>SUBTOTAL(9,P42:P44)</f>
        <v>0.92333333333333334</v>
      </c>
      <c r="Q45" s="8">
        <f>SUBTOTAL(9,Q42:Q44)</f>
        <v>0.52183333333333337</v>
      </c>
      <c r="R45" s="8">
        <f>SUBTOTAL(9,R42:R44)</f>
        <v>0.97333333333333338</v>
      </c>
      <c r="S45" s="8">
        <f>SUBTOTAL(9,S42:S44)</f>
        <v>0.67555555555555546</v>
      </c>
      <c r="T45" s="8">
        <f>SUBTOTAL(9,T42:T44)</f>
        <v>0.59944444444444434</v>
      </c>
      <c r="U45" s="8">
        <f>SUBTOTAL(9,U42:U44)</f>
        <v>0.59833333333333327</v>
      </c>
      <c r="V45" s="8">
        <f>SUBTOTAL(9,V42:V44)</f>
        <v>0.4930000000000001</v>
      </c>
      <c r="W45" s="8">
        <f>SUBTOTAL(9,W42:W44)</f>
        <v>2.0616666666666665</v>
      </c>
      <c r="X45" s="8">
        <f>SUBTOTAL(9,X42:X44)</f>
        <v>1.0149999999999999</v>
      </c>
    </row>
    <row r="46" spans="1:24" outlineLevel="2" x14ac:dyDescent="0.25">
      <c r="A46" s="1">
        <v>15613020</v>
      </c>
      <c r="B46" s="1" t="s">
        <v>143</v>
      </c>
      <c r="C46" s="1">
        <v>115242</v>
      </c>
      <c r="D46" s="1" t="s">
        <v>34</v>
      </c>
      <c r="E46" s="1">
        <v>179062</v>
      </c>
      <c r="F46" s="1" t="s">
        <v>144</v>
      </c>
      <c r="G46" s="4">
        <v>0.21677777777777779</v>
      </c>
      <c r="H46" s="2">
        <v>0.245</v>
      </c>
      <c r="I46" s="2">
        <v>0.59333333333333338</v>
      </c>
      <c r="J46" s="2">
        <v>0.1244444444444444</v>
      </c>
      <c r="K46" s="2">
        <v>0.63666666666666671</v>
      </c>
      <c r="L46" s="2">
        <v>0.245</v>
      </c>
      <c r="M46" s="2">
        <v>0.23333333333333331</v>
      </c>
      <c r="N46" s="2">
        <v>0.27</v>
      </c>
      <c r="O46" s="2">
        <v>0.09</v>
      </c>
      <c r="P46" s="2">
        <v>0.1933333333333333</v>
      </c>
      <c r="Q46" s="2">
        <v>0.23</v>
      </c>
      <c r="R46" s="2">
        <v>0.27666666666666673</v>
      </c>
      <c r="S46" s="2">
        <v>0.17666666666666669</v>
      </c>
      <c r="T46" s="2">
        <v>0.18333333333333329</v>
      </c>
      <c r="U46" s="2">
        <v>9.5000000000000001E-2</v>
      </c>
      <c r="V46" s="2">
        <v>0.14499999999999999</v>
      </c>
      <c r="W46" s="2">
        <v>0.19500000000000001</v>
      </c>
      <c r="X46" s="2">
        <v>0.38333333333333341</v>
      </c>
    </row>
    <row r="47" spans="1:24" outlineLevel="2" x14ac:dyDescent="0.25">
      <c r="A47" s="1">
        <v>15613020</v>
      </c>
      <c r="B47" s="1" t="s">
        <v>143</v>
      </c>
      <c r="C47" s="1">
        <v>115242</v>
      </c>
      <c r="D47" s="1" t="s">
        <v>34</v>
      </c>
      <c r="E47" s="1">
        <v>215712</v>
      </c>
      <c r="F47" s="1" t="s">
        <v>149</v>
      </c>
      <c r="G47" s="4">
        <v>0.2434188034188034</v>
      </c>
      <c r="H47" s="2">
        <v>0.19</v>
      </c>
      <c r="I47" s="2">
        <v>0.2466666666666667</v>
      </c>
      <c r="J47" s="2">
        <v>0.14833333333333329</v>
      </c>
      <c r="K47" s="2">
        <v>0.19444444444444439</v>
      </c>
      <c r="L47" s="2">
        <v>0.30499999999999999</v>
      </c>
      <c r="M47" s="2">
        <v>0.28000000000000003</v>
      </c>
      <c r="N47" s="2">
        <v>0.28000000000000003</v>
      </c>
      <c r="O47" s="2">
        <v>0.28000000000000003</v>
      </c>
      <c r="P47" s="2">
        <v>0.28333333333333333</v>
      </c>
      <c r="Q47" s="2">
        <v>0.28166666666666668</v>
      </c>
      <c r="R47" s="2">
        <v>0.1866666666666667</v>
      </c>
      <c r="S47" s="2">
        <v>0.28000000000000003</v>
      </c>
      <c r="T47" s="2">
        <v>0.28000000000000003</v>
      </c>
      <c r="U47" s="2">
        <v>0.13666666666666669</v>
      </c>
      <c r="V47" s="2">
        <v>0.28333333333333333</v>
      </c>
      <c r="W47" s="2">
        <v>0.37666666666666659</v>
      </c>
      <c r="X47" s="2">
        <v>0.28000000000000003</v>
      </c>
    </row>
    <row r="48" spans="1:24" outlineLevel="1" x14ac:dyDescent="0.25">
      <c r="A48" s="7" t="str">
        <f>A47&amp;" - "&amp;B47</f>
        <v>15613020 - NRSG - 4th Floor Maternity</v>
      </c>
      <c r="B48" s="7"/>
      <c r="C48" s="7"/>
      <c r="D48" s="7"/>
      <c r="E48" s="7"/>
      <c r="F48" s="7"/>
      <c r="G48" s="8">
        <f>SUBTOTAL(9,G46:G47)</f>
        <v>0.46019658119658119</v>
      </c>
      <c r="H48" s="8">
        <f>SUBTOTAL(9,H46:H47)</f>
        <v>0.435</v>
      </c>
      <c r="I48" s="8">
        <f>SUBTOTAL(9,I46:I47)</f>
        <v>0.84000000000000008</v>
      </c>
      <c r="J48" s="8">
        <f>SUBTOTAL(9,J46:J47)</f>
        <v>0.27277777777777767</v>
      </c>
      <c r="K48" s="8">
        <f>SUBTOTAL(9,K46:K47)</f>
        <v>0.83111111111111113</v>
      </c>
      <c r="L48" s="8">
        <f>SUBTOTAL(9,L46:L47)</f>
        <v>0.55000000000000004</v>
      </c>
      <c r="M48" s="8">
        <f>SUBTOTAL(9,M46:M47)</f>
        <v>0.51333333333333331</v>
      </c>
      <c r="N48" s="8">
        <f>SUBTOTAL(9,N46:N47)</f>
        <v>0.55000000000000004</v>
      </c>
      <c r="O48" s="8">
        <f>SUBTOTAL(9,O46:O47)</f>
        <v>0.37</v>
      </c>
      <c r="P48" s="8">
        <f>SUBTOTAL(9,P46:P47)</f>
        <v>0.47666666666666663</v>
      </c>
      <c r="Q48" s="8">
        <f>SUBTOTAL(9,Q46:Q47)</f>
        <v>0.51166666666666671</v>
      </c>
      <c r="R48" s="8">
        <f>SUBTOTAL(9,R46:R47)</f>
        <v>0.46333333333333343</v>
      </c>
      <c r="S48" s="8">
        <f>SUBTOTAL(9,S46:S47)</f>
        <v>0.45666666666666672</v>
      </c>
      <c r="T48" s="8">
        <f>SUBTOTAL(9,T46:T47)</f>
        <v>0.46333333333333332</v>
      </c>
      <c r="U48" s="8">
        <f>SUBTOTAL(9,U46:U47)</f>
        <v>0.23166666666666669</v>
      </c>
      <c r="V48" s="8">
        <f>SUBTOTAL(9,V46:V47)</f>
        <v>0.42833333333333334</v>
      </c>
      <c r="W48" s="8">
        <f>SUBTOTAL(9,W46:W47)</f>
        <v>0.57166666666666655</v>
      </c>
      <c r="X48" s="8">
        <f>SUBTOTAL(9,X46:X47)</f>
        <v>0.66333333333333344</v>
      </c>
    </row>
    <row r="49" spans="1:24" outlineLevel="2" x14ac:dyDescent="0.25">
      <c r="A49" s="1">
        <v>15613035</v>
      </c>
      <c r="B49" s="1" t="s">
        <v>268</v>
      </c>
      <c r="C49" s="1">
        <v>115242</v>
      </c>
      <c r="D49" s="1" t="s">
        <v>34</v>
      </c>
      <c r="E49" s="1">
        <v>163817</v>
      </c>
      <c r="F49" s="1" t="s">
        <v>269</v>
      </c>
      <c r="G49" s="4">
        <v>0.34473684210526317</v>
      </c>
      <c r="H49" s="2">
        <v>0.1933333333333333</v>
      </c>
      <c r="I49" s="2">
        <v>0.38333333333333341</v>
      </c>
      <c r="J49" s="2">
        <v>0.68</v>
      </c>
      <c r="K49" s="2">
        <v>0.52333333333333332</v>
      </c>
      <c r="L49" s="2">
        <v>0.23</v>
      </c>
      <c r="M49" s="2">
        <v>4.8333333333333332E-2</v>
      </c>
      <c r="N49" s="2">
        <v>0.33</v>
      </c>
      <c r="O49" s="2">
        <v>0.48333333333333328</v>
      </c>
      <c r="P49" s="2">
        <v>0.38666666666666671</v>
      </c>
      <c r="Q49" s="2">
        <v>9.6666666666666665E-2</v>
      </c>
      <c r="R49" s="2">
        <v>0.29333333333333328</v>
      </c>
      <c r="S49" s="2">
        <v>0.38666666666666671</v>
      </c>
      <c r="T49" s="2">
        <v>0.2</v>
      </c>
      <c r="U49" s="2">
        <v>0.67666666666666664</v>
      </c>
      <c r="V49" s="2">
        <v>0.1933333333333333</v>
      </c>
      <c r="W49" s="2">
        <v>0.67666666666666664</v>
      </c>
      <c r="X49" s="2">
        <v>0.49</v>
      </c>
    </row>
    <row r="50" spans="1:24" outlineLevel="1" x14ac:dyDescent="0.25">
      <c r="A50" s="7" t="str">
        <f>A49&amp;" - "&amp;B49</f>
        <v>15613035 - NRSG - 7 Uris</v>
      </c>
      <c r="B50" s="7"/>
      <c r="C50" s="7"/>
      <c r="D50" s="7"/>
      <c r="E50" s="7"/>
      <c r="F50" s="7"/>
      <c r="G50" s="8">
        <f>SUBTOTAL(9,G49:G49)</f>
        <v>0.34473684210526317</v>
      </c>
      <c r="H50" s="8">
        <f>SUBTOTAL(9,H49:H49)</f>
        <v>0.1933333333333333</v>
      </c>
      <c r="I50" s="8">
        <f>SUBTOTAL(9,I49:I49)</f>
        <v>0.38333333333333341</v>
      </c>
      <c r="J50" s="8">
        <f>SUBTOTAL(9,J49:J49)</f>
        <v>0.68</v>
      </c>
      <c r="K50" s="8">
        <f>SUBTOTAL(9,K49:K49)</f>
        <v>0.52333333333333332</v>
      </c>
      <c r="L50" s="8">
        <f>SUBTOTAL(9,L49:L49)</f>
        <v>0.23</v>
      </c>
      <c r="M50" s="8">
        <f>SUBTOTAL(9,M49:M49)</f>
        <v>4.8333333333333332E-2</v>
      </c>
      <c r="N50" s="8">
        <f>SUBTOTAL(9,N49:N49)</f>
        <v>0.33</v>
      </c>
      <c r="O50" s="8">
        <f>SUBTOTAL(9,O49:O49)</f>
        <v>0.48333333333333328</v>
      </c>
      <c r="P50" s="8">
        <f>SUBTOTAL(9,P49:P49)</f>
        <v>0.38666666666666671</v>
      </c>
      <c r="Q50" s="8">
        <f>SUBTOTAL(9,Q49:Q49)</f>
        <v>9.6666666666666665E-2</v>
      </c>
      <c r="R50" s="8">
        <f>SUBTOTAL(9,R49:R49)</f>
        <v>0.29333333333333328</v>
      </c>
      <c r="S50" s="8">
        <f>SUBTOTAL(9,S49:S49)</f>
        <v>0.38666666666666671</v>
      </c>
      <c r="T50" s="8">
        <f>SUBTOTAL(9,T49:T49)</f>
        <v>0.2</v>
      </c>
      <c r="U50" s="8">
        <f>SUBTOTAL(9,U49:U49)</f>
        <v>0.67666666666666664</v>
      </c>
      <c r="V50" s="8">
        <f>SUBTOTAL(9,V49:V49)</f>
        <v>0.1933333333333333</v>
      </c>
      <c r="W50" s="8">
        <f>SUBTOTAL(9,W49:W49)</f>
        <v>0.67666666666666664</v>
      </c>
      <c r="X50" s="8">
        <f>SUBTOTAL(9,X49:X49)</f>
        <v>0.49</v>
      </c>
    </row>
    <row r="51" spans="1:24" outlineLevel="2" x14ac:dyDescent="0.25">
      <c r="A51" s="1">
        <v>15613045</v>
      </c>
      <c r="B51" s="1" t="s">
        <v>171</v>
      </c>
      <c r="C51" s="1">
        <v>115242</v>
      </c>
      <c r="D51" s="1" t="s">
        <v>34</v>
      </c>
      <c r="E51" s="1">
        <v>188095</v>
      </c>
      <c r="F51" s="1" t="s">
        <v>172</v>
      </c>
      <c r="G51" s="4">
        <v>0.16400000000000001</v>
      </c>
      <c r="H51" s="2">
        <v>0.1466666666666667</v>
      </c>
      <c r="I51" s="2">
        <v>0.2466666666666667</v>
      </c>
      <c r="J51" s="2">
        <v>9.6666666666666665E-2</v>
      </c>
      <c r="K51" s="2">
        <v>0.19833333333333331</v>
      </c>
      <c r="L51" s="2">
        <v>0.16444444444444439</v>
      </c>
      <c r="M51" s="2">
        <v>0.19500000000000001</v>
      </c>
      <c r="N51" s="2">
        <v>0.20333333333333331</v>
      </c>
      <c r="O51" s="2">
        <v>0.1933333333333333</v>
      </c>
      <c r="P51" s="2">
        <v>9.6666666666666665E-2</v>
      </c>
      <c r="Q51" s="2">
        <v>6.133333333333333E-2</v>
      </c>
      <c r="R51" s="2">
        <v>0.23333333333333331</v>
      </c>
      <c r="S51" s="2">
        <v>0.16222222222222221</v>
      </c>
      <c r="T51" s="2">
        <v>0.1466666666666667</v>
      </c>
      <c r="U51" s="2">
        <v>0.245</v>
      </c>
      <c r="V51" s="2">
        <v>0.1466666666666667</v>
      </c>
      <c r="W51" s="2">
        <v>0.1466666666666667</v>
      </c>
      <c r="X51" s="2">
        <v>0.29333333333333328</v>
      </c>
    </row>
    <row r="52" spans="1:24" outlineLevel="2" x14ac:dyDescent="0.25">
      <c r="A52" s="1">
        <v>15613045</v>
      </c>
      <c r="B52" s="1" t="s">
        <v>171</v>
      </c>
      <c r="C52" s="1">
        <v>115242</v>
      </c>
      <c r="D52" s="1" t="s">
        <v>34</v>
      </c>
      <c r="E52" s="1">
        <v>247990</v>
      </c>
      <c r="F52" s="1" t="s">
        <v>181</v>
      </c>
      <c r="G52" s="4">
        <v>0.15175438596491231</v>
      </c>
      <c r="H52" s="2">
        <v>0.1183333333333333</v>
      </c>
      <c r="I52" s="2">
        <v>0.17166666666666669</v>
      </c>
      <c r="J52" s="2">
        <v>0.22500000000000001</v>
      </c>
      <c r="K52" s="2">
        <v>0.19500000000000001</v>
      </c>
      <c r="L52" s="2">
        <v>9.6666666666666665E-2</v>
      </c>
      <c r="M52" s="2">
        <v>0.1133333333333333</v>
      </c>
      <c r="N52" s="2">
        <v>0.21333333333333329</v>
      </c>
      <c r="O52" s="2">
        <v>0.19666666666666671</v>
      </c>
      <c r="P52" s="2">
        <v>0.1144444444444444</v>
      </c>
      <c r="Q52" s="2">
        <v>6.5833333333333327E-2</v>
      </c>
      <c r="R52" s="2">
        <v>0.26666666666666672</v>
      </c>
      <c r="S52" s="2">
        <v>0.1488888888888889</v>
      </c>
      <c r="T52" s="2">
        <v>4.6666666666666669E-2</v>
      </c>
      <c r="U52" s="2">
        <v>0.1388888888888889</v>
      </c>
      <c r="V52" s="2">
        <v>0.22</v>
      </c>
      <c r="W52" s="2">
        <v>0.28999999999999998</v>
      </c>
      <c r="X52" s="2">
        <v>0.1283333333333333</v>
      </c>
    </row>
    <row r="53" spans="1:24" outlineLevel="1" x14ac:dyDescent="0.25">
      <c r="A53" s="7" t="str">
        <f>A52&amp;" - "&amp;B52</f>
        <v>15613045 - NRSG - 9 East</v>
      </c>
      <c r="B53" s="7"/>
      <c r="C53" s="7"/>
      <c r="D53" s="7"/>
      <c r="E53" s="7"/>
      <c r="F53" s="7"/>
      <c r="G53" s="8">
        <f>SUBTOTAL(9,G51:G52)</f>
        <v>0.31575438596491234</v>
      </c>
      <c r="H53" s="8">
        <f>SUBTOTAL(9,H51:H52)</f>
        <v>0.26500000000000001</v>
      </c>
      <c r="I53" s="8">
        <f>SUBTOTAL(9,I51:I52)</f>
        <v>0.41833333333333339</v>
      </c>
      <c r="J53" s="8">
        <f>SUBTOTAL(9,J51:J52)</f>
        <v>0.32166666666666666</v>
      </c>
      <c r="K53" s="8">
        <f>SUBTOTAL(9,K51:K52)</f>
        <v>0.39333333333333331</v>
      </c>
      <c r="L53" s="8">
        <f>SUBTOTAL(9,L51:L52)</f>
        <v>0.26111111111111107</v>
      </c>
      <c r="M53" s="8">
        <f>SUBTOTAL(9,M51:M52)</f>
        <v>0.30833333333333329</v>
      </c>
      <c r="N53" s="8">
        <f>SUBTOTAL(9,N51:N52)</f>
        <v>0.41666666666666663</v>
      </c>
      <c r="O53" s="8">
        <f>SUBTOTAL(9,O51:O52)</f>
        <v>0.39</v>
      </c>
      <c r="P53" s="8">
        <f>SUBTOTAL(9,P51:P52)</f>
        <v>0.21111111111111108</v>
      </c>
      <c r="Q53" s="8">
        <f>SUBTOTAL(9,Q51:Q52)</f>
        <v>0.12716666666666665</v>
      </c>
      <c r="R53" s="8">
        <f>SUBTOTAL(9,R51:R52)</f>
        <v>0.5</v>
      </c>
      <c r="S53" s="8">
        <f>SUBTOTAL(9,S51:S52)</f>
        <v>0.31111111111111112</v>
      </c>
      <c r="T53" s="8">
        <f>SUBTOTAL(9,T51:T52)</f>
        <v>0.19333333333333336</v>
      </c>
      <c r="U53" s="8">
        <f>SUBTOTAL(9,U51:U52)</f>
        <v>0.38388888888888889</v>
      </c>
      <c r="V53" s="8">
        <f>SUBTOTAL(9,V51:V52)</f>
        <v>0.3666666666666667</v>
      </c>
      <c r="W53" s="8">
        <f>SUBTOTAL(9,W51:W52)</f>
        <v>0.43666666666666665</v>
      </c>
      <c r="X53" s="8">
        <f>SUBTOTAL(9,X51:X52)</f>
        <v>0.42166666666666658</v>
      </c>
    </row>
    <row r="54" spans="1:24" outlineLevel="2" x14ac:dyDescent="0.25">
      <c r="A54" s="1">
        <v>15613046</v>
      </c>
      <c r="B54" s="1" t="s">
        <v>258</v>
      </c>
      <c r="C54" s="1">
        <v>115242</v>
      </c>
      <c r="D54" s="1" t="s">
        <v>34</v>
      </c>
      <c r="E54" s="1">
        <v>582362</v>
      </c>
      <c r="F54" s="1" t="s">
        <v>259</v>
      </c>
      <c r="G54" s="4">
        <v>0.182258064516129</v>
      </c>
      <c r="H54" s="2">
        <v>0.19666666666666671</v>
      </c>
      <c r="I54" s="2">
        <v>0.38666666666666671</v>
      </c>
      <c r="J54" s="2">
        <v>3.2222222222222222E-2</v>
      </c>
      <c r="K54" s="2">
        <v>0</v>
      </c>
      <c r="L54" s="2">
        <v>0.19666666666666671</v>
      </c>
      <c r="M54" s="2">
        <v>0.39166666666666672</v>
      </c>
      <c r="N54" s="2">
        <v>0.48333333333333328</v>
      </c>
      <c r="O54" s="2">
        <v>0.1933333333333333</v>
      </c>
      <c r="P54" s="2">
        <v>9.5000000000000001E-2</v>
      </c>
      <c r="Q54" s="2">
        <v>6.1111111111111109E-2</v>
      </c>
      <c r="R54" s="2">
        <v>0</v>
      </c>
      <c r="S54" s="2">
        <v>0.24833333333333329</v>
      </c>
      <c r="T54" s="2">
        <v>0.1466666666666667</v>
      </c>
      <c r="U54" s="2">
        <v>0.1466666666666667</v>
      </c>
      <c r="V54" s="2">
        <v>0.38666666666666671</v>
      </c>
      <c r="W54" s="2">
        <v>0.19500000000000001</v>
      </c>
      <c r="X54" s="2">
        <v>0.34499999999999997</v>
      </c>
    </row>
    <row r="55" spans="1:24" outlineLevel="1" x14ac:dyDescent="0.25">
      <c r="A55" s="7" t="str">
        <f>A54&amp;" - "&amp;B54</f>
        <v>15613046 - NRSG - 7 Lachman</v>
      </c>
      <c r="B55" s="7"/>
      <c r="C55" s="7"/>
      <c r="D55" s="7"/>
      <c r="E55" s="7"/>
      <c r="F55" s="7"/>
      <c r="G55" s="8">
        <f>SUBTOTAL(9,G54:G54)</f>
        <v>0.182258064516129</v>
      </c>
      <c r="H55" s="8">
        <f>SUBTOTAL(9,H54:H54)</f>
        <v>0.19666666666666671</v>
      </c>
      <c r="I55" s="8">
        <f>SUBTOTAL(9,I54:I54)</f>
        <v>0.38666666666666671</v>
      </c>
      <c r="J55" s="8">
        <f>SUBTOTAL(9,J54:J54)</f>
        <v>3.2222222222222222E-2</v>
      </c>
      <c r="K55" s="8">
        <f>SUBTOTAL(9,K54:K54)</f>
        <v>0</v>
      </c>
      <c r="L55" s="8">
        <f>SUBTOTAL(9,L54:L54)</f>
        <v>0.19666666666666671</v>
      </c>
      <c r="M55" s="8">
        <f>SUBTOTAL(9,M54:M54)</f>
        <v>0.39166666666666672</v>
      </c>
      <c r="N55" s="8">
        <f>SUBTOTAL(9,N54:N54)</f>
        <v>0.48333333333333328</v>
      </c>
      <c r="O55" s="8">
        <f>SUBTOTAL(9,O54:O54)</f>
        <v>0.1933333333333333</v>
      </c>
      <c r="P55" s="8">
        <f>SUBTOTAL(9,P54:P54)</f>
        <v>9.5000000000000001E-2</v>
      </c>
      <c r="Q55" s="8">
        <f>SUBTOTAL(9,Q54:Q54)</f>
        <v>6.1111111111111109E-2</v>
      </c>
      <c r="R55" s="8">
        <f>SUBTOTAL(9,R54:R54)</f>
        <v>0</v>
      </c>
      <c r="S55" s="8">
        <f>SUBTOTAL(9,S54:S54)</f>
        <v>0.24833333333333329</v>
      </c>
      <c r="T55" s="8">
        <f>SUBTOTAL(9,T54:T54)</f>
        <v>0.1466666666666667</v>
      </c>
      <c r="U55" s="8">
        <f>SUBTOTAL(9,U54:U54)</f>
        <v>0.1466666666666667</v>
      </c>
      <c r="V55" s="8">
        <f>SUBTOTAL(9,V54:V54)</f>
        <v>0.38666666666666671</v>
      </c>
      <c r="W55" s="8">
        <f>SUBTOTAL(9,W54:W54)</f>
        <v>0.19500000000000001</v>
      </c>
      <c r="X55" s="8">
        <f>SUBTOTAL(9,X54:X54)</f>
        <v>0.34499999999999997</v>
      </c>
    </row>
    <row r="56" spans="1:24" outlineLevel="2" x14ac:dyDescent="0.25">
      <c r="A56" s="1">
        <v>15613065</v>
      </c>
      <c r="B56" s="1" t="s">
        <v>71</v>
      </c>
      <c r="C56" s="1">
        <v>108102</v>
      </c>
      <c r="D56" s="1" t="s">
        <v>48</v>
      </c>
      <c r="E56" s="1">
        <v>157394</v>
      </c>
      <c r="F56" s="1" t="s">
        <v>72</v>
      </c>
      <c r="G56" s="4">
        <v>0.17749999999999999</v>
      </c>
      <c r="H56" s="2">
        <v>0.01</v>
      </c>
      <c r="I56" s="2">
        <v>0.1033333333333333</v>
      </c>
      <c r="J56" s="2">
        <v>0.22111111111111109</v>
      </c>
      <c r="K56" s="2">
        <v>0.1583333333333333</v>
      </c>
      <c r="L56" s="2">
        <v>0.48333333333333328</v>
      </c>
      <c r="M56" s="2">
        <v>7.6666666666666661E-2</v>
      </c>
      <c r="N56" s="2">
        <v>0.46333333333333332</v>
      </c>
      <c r="O56" s="2">
        <v>0.31</v>
      </c>
      <c r="P56" s="2">
        <v>7.6666666666666661E-2</v>
      </c>
      <c r="Q56" s="2">
        <v>0.155</v>
      </c>
      <c r="R56" s="2">
        <v>3.3333333333333333E-2</v>
      </c>
      <c r="S56" s="2">
        <v>0.1566666666666667</v>
      </c>
      <c r="T56" s="2">
        <v>0.1111111111111111</v>
      </c>
      <c r="U56" s="2">
        <v>0.50666666666666671</v>
      </c>
      <c r="V56" s="2">
        <v>0.23666666666666669</v>
      </c>
      <c r="W56" s="2">
        <v>0.1677777777777778</v>
      </c>
      <c r="X56" s="2">
        <v>0.17166666666666669</v>
      </c>
    </row>
    <row r="57" spans="1:24" outlineLevel="1" x14ac:dyDescent="0.25">
      <c r="A57" s="7" t="str">
        <f>A56&amp;" - "&amp;B56</f>
        <v>15613065 - NRSG - 9 Wollman</v>
      </c>
      <c r="B57" s="7"/>
      <c r="C57" s="7"/>
      <c r="D57" s="7"/>
      <c r="E57" s="7"/>
      <c r="F57" s="7"/>
      <c r="G57" s="8">
        <f>SUBTOTAL(9,G56:G56)</f>
        <v>0.17749999999999999</v>
      </c>
      <c r="H57" s="8">
        <f>SUBTOTAL(9,H56:H56)</f>
        <v>0.01</v>
      </c>
      <c r="I57" s="8">
        <f>SUBTOTAL(9,I56:I56)</f>
        <v>0.1033333333333333</v>
      </c>
      <c r="J57" s="8">
        <f>SUBTOTAL(9,J56:J56)</f>
        <v>0.22111111111111109</v>
      </c>
      <c r="K57" s="8">
        <f>SUBTOTAL(9,K56:K56)</f>
        <v>0.1583333333333333</v>
      </c>
      <c r="L57" s="8">
        <f>SUBTOTAL(9,L56:L56)</f>
        <v>0.48333333333333328</v>
      </c>
      <c r="M57" s="8">
        <f>SUBTOTAL(9,M56:M56)</f>
        <v>7.6666666666666661E-2</v>
      </c>
      <c r="N57" s="8">
        <f>SUBTOTAL(9,N56:N56)</f>
        <v>0.46333333333333332</v>
      </c>
      <c r="O57" s="8">
        <f>SUBTOTAL(9,O56:O56)</f>
        <v>0.31</v>
      </c>
      <c r="P57" s="8">
        <f>SUBTOTAL(9,P56:P56)</f>
        <v>7.6666666666666661E-2</v>
      </c>
      <c r="Q57" s="8">
        <f>SUBTOTAL(9,Q56:Q56)</f>
        <v>0.155</v>
      </c>
      <c r="R57" s="8">
        <f>SUBTOTAL(9,R56:R56)</f>
        <v>3.3333333333333333E-2</v>
      </c>
      <c r="S57" s="8">
        <f>SUBTOTAL(9,S56:S56)</f>
        <v>0.1566666666666667</v>
      </c>
      <c r="T57" s="8">
        <f>SUBTOTAL(9,T56:T56)</f>
        <v>0.1111111111111111</v>
      </c>
      <c r="U57" s="8">
        <f>SUBTOTAL(9,U56:U56)</f>
        <v>0.50666666666666671</v>
      </c>
      <c r="V57" s="8">
        <f>SUBTOTAL(9,V56:V56)</f>
        <v>0.23666666666666669</v>
      </c>
      <c r="W57" s="8">
        <f>SUBTOTAL(9,W56:W56)</f>
        <v>0.1677777777777778</v>
      </c>
      <c r="X57" s="8">
        <f>SUBTOTAL(9,X56:X56)</f>
        <v>0.17166666666666669</v>
      </c>
    </row>
    <row r="58" spans="1:24" outlineLevel="2" x14ac:dyDescent="0.25">
      <c r="A58" s="1">
        <v>15613075</v>
      </c>
      <c r="B58" s="1" t="s">
        <v>99</v>
      </c>
      <c r="C58" s="1">
        <v>115242</v>
      </c>
      <c r="D58" s="1" t="s">
        <v>34</v>
      </c>
      <c r="E58" s="1">
        <v>247992</v>
      </c>
      <c r="F58" s="1" t="s">
        <v>100</v>
      </c>
      <c r="G58" s="4">
        <v>0.13500000000000001</v>
      </c>
      <c r="H58" s="2">
        <v>0.1216666666666667</v>
      </c>
      <c r="I58" s="2">
        <v>0.13</v>
      </c>
      <c r="J58" s="2">
        <v>9.9166666666666667E-2</v>
      </c>
      <c r="K58" s="2">
        <v>0.1488888888888889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9.6666666666666665E-2</v>
      </c>
      <c r="R58" s="2">
        <v>0.1933333333333333</v>
      </c>
      <c r="S58" s="2">
        <v>0.48333333333333328</v>
      </c>
      <c r="T58" s="2">
        <v>0.19166666666666671</v>
      </c>
      <c r="U58" s="2">
        <v>9.6666666666666665E-2</v>
      </c>
      <c r="V58" s="2">
        <v>0.38666666666666671</v>
      </c>
      <c r="W58" s="2">
        <v>5.0833333333333328E-2</v>
      </c>
      <c r="X58" s="2">
        <v>6.5555555555555561E-2</v>
      </c>
    </row>
    <row r="59" spans="1:24" outlineLevel="2" x14ac:dyDescent="0.25">
      <c r="A59" s="1">
        <v>15613075</v>
      </c>
      <c r="B59" s="1" t="s">
        <v>99</v>
      </c>
      <c r="C59" s="1">
        <v>115242</v>
      </c>
      <c r="D59" s="1" t="s">
        <v>34</v>
      </c>
      <c r="E59" s="1">
        <v>478720</v>
      </c>
      <c r="F59" s="1" t="s">
        <v>231</v>
      </c>
      <c r="G59" s="4">
        <v>0.13346153846153849</v>
      </c>
      <c r="H59" s="2">
        <v>0.1166666666666667</v>
      </c>
      <c r="I59" s="2">
        <v>0</v>
      </c>
      <c r="J59" s="2">
        <v>0</v>
      </c>
      <c r="K59" s="2">
        <v>0.1173333333333333</v>
      </c>
      <c r="L59" s="2">
        <v>0.1277777777777778</v>
      </c>
      <c r="M59" s="2">
        <v>0.1933333333333333</v>
      </c>
      <c r="N59" s="2">
        <v>0.1933333333333333</v>
      </c>
      <c r="O59" s="2">
        <v>0.13533333333333331</v>
      </c>
      <c r="P59" s="2">
        <v>0.13666666666666669</v>
      </c>
      <c r="Q59" s="2">
        <v>9.4444444444444442E-2</v>
      </c>
      <c r="R59" s="2">
        <v>0.1933333333333333</v>
      </c>
      <c r="S59" s="2">
        <v>0.34</v>
      </c>
      <c r="T59" s="2">
        <v>0.1933333333333333</v>
      </c>
      <c r="U59" s="2">
        <v>9.583333333333334E-2</v>
      </c>
      <c r="V59" s="2">
        <v>0.1153333333333333</v>
      </c>
      <c r="W59" s="2">
        <v>0.14499999999999999</v>
      </c>
      <c r="X59" s="2">
        <v>6.4444444444444443E-2</v>
      </c>
    </row>
    <row r="60" spans="1:24" outlineLevel="1" x14ac:dyDescent="0.25">
      <c r="A60" s="7" t="str">
        <f>A59&amp;" - "&amp;B59</f>
        <v>15613075 - NRSG - 9 Uris</v>
      </c>
      <c r="B60" s="7"/>
      <c r="C60" s="7"/>
      <c r="D60" s="7"/>
      <c r="E60" s="7"/>
      <c r="F60" s="7"/>
      <c r="G60" s="8">
        <f>SUBTOTAL(9,G58:G59)</f>
        <v>0.26846153846153853</v>
      </c>
      <c r="H60" s="8">
        <f>SUBTOTAL(9,H58:H59)</f>
        <v>0.2383333333333334</v>
      </c>
      <c r="I60" s="8">
        <f>SUBTOTAL(9,I58:I59)</f>
        <v>0.13</v>
      </c>
      <c r="J60" s="8">
        <f>SUBTOTAL(9,J58:J59)</f>
        <v>9.9166666666666667E-2</v>
      </c>
      <c r="K60" s="8">
        <f>SUBTOTAL(9,K58:K59)</f>
        <v>0.26622222222222219</v>
      </c>
      <c r="L60" s="8">
        <f>SUBTOTAL(9,L58:L59)</f>
        <v>0.1277777777777778</v>
      </c>
      <c r="M60" s="8">
        <f>SUBTOTAL(9,M58:M59)</f>
        <v>0.1933333333333333</v>
      </c>
      <c r="N60" s="8">
        <f>SUBTOTAL(9,N58:N59)</f>
        <v>0.1933333333333333</v>
      </c>
      <c r="O60" s="8">
        <f>SUBTOTAL(9,O58:O59)</f>
        <v>0.13533333333333331</v>
      </c>
      <c r="P60" s="8">
        <f>SUBTOTAL(9,P58:P59)</f>
        <v>0.13666666666666669</v>
      </c>
      <c r="Q60" s="8">
        <f>SUBTOTAL(9,Q58:Q59)</f>
        <v>0.19111111111111112</v>
      </c>
      <c r="R60" s="8">
        <f>SUBTOTAL(9,R58:R59)</f>
        <v>0.3866666666666666</v>
      </c>
      <c r="S60" s="8">
        <f>SUBTOTAL(9,S58:S59)</f>
        <v>0.82333333333333325</v>
      </c>
      <c r="T60" s="8">
        <f>SUBTOTAL(9,T58:T59)</f>
        <v>0.38500000000000001</v>
      </c>
      <c r="U60" s="8">
        <f>SUBTOTAL(9,U58:U59)</f>
        <v>0.1925</v>
      </c>
      <c r="V60" s="8">
        <f>SUBTOTAL(9,V58:V59)</f>
        <v>0.502</v>
      </c>
      <c r="W60" s="8">
        <f>SUBTOTAL(9,W58:W59)</f>
        <v>0.1958333333333333</v>
      </c>
      <c r="X60" s="8">
        <f>SUBTOTAL(9,X58:X59)</f>
        <v>0.13</v>
      </c>
    </row>
    <row r="61" spans="1:24" outlineLevel="2" x14ac:dyDescent="0.25">
      <c r="A61" s="1">
        <v>15613095</v>
      </c>
      <c r="B61" s="1" t="s">
        <v>160</v>
      </c>
      <c r="C61" s="1">
        <v>115242</v>
      </c>
      <c r="D61" s="1" t="s">
        <v>34</v>
      </c>
      <c r="E61" s="1">
        <v>575370</v>
      </c>
      <c r="F61" s="1" t="s">
        <v>161</v>
      </c>
      <c r="G61" s="4">
        <v>0.1843181818181818</v>
      </c>
      <c r="H61" s="2">
        <v>9.8888888888888887E-2</v>
      </c>
      <c r="I61" s="2">
        <v>0.22555555555555559</v>
      </c>
      <c r="J61" s="2">
        <v>0.25777777777777777</v>
      </c>
      <c r="K61" s="2">
        <v>0.28999999999999998</v>
      </c>
      <c r="L61" s="2">
        <v>0.16916666666666669</v>
      </c>
      <c r="M61" s="2">
        <v>0.58333333333333337</v>
      </c>
      <c r="N61" s="2">
        <v>0.12666666666666671</v>
      </c>
      <c r="O61" s="2">
        <v>0.14499999999999999</v>
      </c>
      <c r="P61" s="2">
        <v>0.16</v>
      </c>
      <c r="Q61" s="2">
        <v>0.16111111111111109</v>
      </c>
      <c r="R61" s="2">
        <v>0</v>
      </c>
      <c r="S61" s="2">
        <v>0.28999999999999998</v>
      </c>
      <c r="T61" s="2">
        <v>0.14499999999999999</v>
      </c>
      <c r="U61" s="2">
        <v>0.19</v>
      </c>
      <c r="V61" s="2">
        <v>0.16111111111111109</v>
      </c>
      <c r="W61" s="2">
        <v>9.6666666666666665E-2</v>
      </c>
      <c r="X61" s="2">
        <v>0.33833333333333332</v>
      </c>
    </row>
    <row r="62" spans="1:24" outlineLevel="2" x14ac:dyDescent="0.25">
      <c r="A62" s="1">
        <v>15613095</v>
      </c>
      <c r="B62" s="1" t="s">
        <v>160</v>
      </c>
      <c r="C62" s="1">
        <v>115242</v>
      </c>
      <c r="D62" s="1" t="s">
        <v>34</v>
      </c>
      <c r="E62" s="1">
        <v>159721</v>
      </c>
      <c r="F62" s="1" t="s">
        <v>222</v>
      </c>
      <c r="G62" s="4">
        <v>0.19463414634146339</v>
      </c>
      <c r="H62" s="2">
        <v>0.19555555555555559</v>
      </c>
      <c r="I62" s="2">
        <v>0.1593333333333333</v>
      </c>
      <c r="J62" s="2">
        <v>0.16555555555555559</v>
      </c>
      <c r="K62" s="2">
        <v>0.1933333333333333</v>
      </c>
      <c r="L62" s="2">
        <v>0.17166666666666669</v>
      </c>
      <c r="M62" s="2">
        <v>0.19666666666666671</v>
      </c>
      <c r="N62" s="2">
        <v>0.16111111111111109</v>
      </c>
      <c r="O62" s="2">
        <v>0.20222222222222219</v>
      </c>
      <c r="P62" s="2">
        <v>0.245</v>
      </c>
      <c r="Q62" s="2">
        <v>0.2416666666666667</v>
      </c>
      <c r="R62" s="2">
        <v>0.19500000000000001</v>
      </c>
      <c r="S62" s="2">
        <v>9.5000000000000001E-2</v>
      </c>
      <c r="T62" s="2">
        <v>0.47333333333333327</v>
      </c>
      <c r="U62" s="2">
        <v>0.1516666666666667</v>
      </c>
      <c r="V62" s="2">
        <v>0.42</v>
      </c>
      <c r="W62" s="2">
        <v>0.10777777777777781</v>
      </c>
      <c r="X62" s="2">
        <v>0.47333333333333327</v>
      </c>
    </row>
    <row r="63" spans="1:24" outlineLevel="1" x14ac:dyDescent="0.25">
      <c r="A63" s="7" t="str">
        <f>A62&amp;" - "&amp;B62</f>
        <v>15613095 - NRSG - 8 Lachman</v>
      </c>
      <c r="B63" s="7"/>
      <c r="C63" s="7"/>
      <c r="D63" s="7"/>
      <c r="E63" s="7"/>
      <c r="F63" s="7"/>
      <c r="G63" s="8">
        <f>SUBTOTAL(9,G61:G62)</f>
        <v>0.37895232815964519</v>
      </c>
      <c r="H63" s="8">
        <f>SUBTOTAL(9,H61:H62)</f>
        <v>0.29444444444444451</v>
      </c>
      <c r="I63" s="8">
        <f>SUBTOTAL(9,I61:I62)</f>
        <v>0.38488888888888889</v>
      </c>
      <c r="J63" s="8">
        <f>SUBTOTAL(9,J61:J62)</f>
        <v>0.42333333333333334</v>
      </c>
      <c r="K63" s="8">
        <f>SUBTOTAL(9,K61:K62)</f>
        <v>0.48333333333333328</v>
      </c>
      <c r="L63" s="8">
        <f>SUBTOTAL(9,L61:L62)</f>
        <v>0.34083333333333338</v>
      </c>
      <c r="M63" s="8">
        <f>SUBTOTAL(9,M61:M62)</f>
        <v>0.78</v>
      </c>
      <c r="N63" s="8">
        <f>SUBTOTAL(9,N61:N62)</f>
        <v>0.2877777777777778</v>
      </c>
      <c r="O63" s="8">
        <f>SUBTOTAL(9,O61:O62)</f>
        <v>0.34722222222222221</v>
      </c>
      <c r="P63" s="8">
        <f>SUBTOTAL(9,P61:P62)</f>
        <v>0.40500000000000003</v>
      </c>
      <c r="Q63" s="8">
        <f>SUBTOTAL(9,Q61:Q62)</f>
        <v>0.40277777777777779</v>
      </c>
      <c r="R63" s="8">
        <f>SUBTOTAL(9,R61:R62)</f>
        <v>0.19500000000000001</v>
      </c>
      <c r="S63" s="8">
        <f>SUBTOTAL(9,S61:S62)</f>
        <v>0.38500000000000001</v>
      </c>
      <c r="T63" s="8">
        <f>SUBTOTAL(9,T61:T62)</f>
        <v>0.61833333333333329</v>
      </c>
      <c r="U63" s="8">
        <f>SUBTOTAL(9,U61:U62)</f>
        <v>0.34166666666666667</v>
      </c>
      <c r="V63" s="8">
        <f>SUBTOTAL(9,V61:V62)</f>
        <v>0.58111111111111113</v>
      </c>
      <c r="W63" s="8">
        <f>SUBTOTAL(9,W61:W62)</f>
        <v>0.20444444444444448</v>
      </c>
      <c r="X63" s="8">
        <f>SUBTOTAL(9,X61:X62)</f>
        <v>0.81166666666666654</v>
      </c>
    </row>
    <row r="64" spans="1:24" outlineLevel="2" x14ac:dyDescent="0.25">
      <c r="A64" s="1">
        <v>15616005</v>
      </c>
      <c r="B64" s="1" t="s">
        <v>84</v>
      </c>
      <c r="C64" s="1">
        <v>115242</v>
      </c>
      <c r="D64" s="1" t="s">
        <v>34</v>
      </c>
      <c r="E64" s="1">
        <v>486987</v>
      </c>
      <c r="F64" s="1" t="s">
        <v>85</v>
      </c>
      <c r="G64" s="4">
        <v>0.20008547008547009</v>
      </c>
      <c r="H64" s="2">
        <v>0.49</v>
      </c>
      <c r="I64" s="2">
        <v>0</v>
      </c>
      <c r="J64" s="2">
        <v>0</v>
      </c>
      <c r="K64" s="2">
        <v>0.1</v>
      </c>
      <c r="L64" s="2">
        <v>0.16111111111111109</v>
      </c>
      <c r="M64" s="2">
        <v>0.14499999999999999</v>
      </c>
      <c r="N64" s="2">
        <v>0.16111111111111109</v>
      </c>
      <c r="O64" s="2">
        <v>0.67666666666666664</v>
      </c>
      <c r="P64" s="2">
        <v>0.29166666666666669</v>
      </c>
      <c r="Q64" s="2">
        <v>0.2416666666666667</v>
      </c>
      <c r="R64" s="2">
        <v>0.1933333333333333</v>
      </c>
      <c r="S64" s="2">
        <v>0.12</v>
      </c>
      <c r="T64" s="2">
        <v>0.12888888888888889</v>
      </c>
      <c r="U64" s="2">
        <v>0.2166666666666667</v>
      </c>
      <c r="V64" s="2">
        <v>0.19</v>
      </c>
      <c r="W64" s="2">
        <v>0.57999999999999996</v>
      </c>
      <c r="X64" s="2">
        <v>0.22555555555555559</v>
      </c>
    </row>
    <row r="65" spans="1:24" outlineLevel="2" x14ac:dyDescent="0.25">
      <c r="A65" s="1">
        <v>15616005</v>
      </c>
      <c r="B65" s="1" t="s">
        <v>84</v>
      </c>
      <c r="C65" s="1">
        <v>115242</v>
      </c>
      <c r="D65" s="1" t="s">
        <v>34</v>
      </c>
      <c r="E65" s="1">
        <v>132871</v>
      </c>
      <c r="F65" s="1" t="s">
        <v>106</v>
      </c>
      <c r="G65" s="4">
        <v>0.23310606060606059</v>
      </c>
      <c r="H65" s="2">
        <v>0.19444444444444439</v>
      </c>
      <c r="I65" s="2">
        <v>0.13600000000000001</v>
      </c>
      <c r="J65" s="2">
        <v>0.17666666666666669</v>
      </c>
      <c r="K65" s="2">
        <v>0.1933333333333333</v>
      </c>
      <c r="L65" s="2">
        <v>0.38333333333333341</v>
      </c>
      <c r="M65" s="2">
        <v>0.245</v>
      </c>
      <c r="N65" s="2">
        <v>0.17166666666666669</v>
      </c>
      <c r="O65" s="2">
        <v>0.39166666666666672</v>
      </c>
      <c r="P65" s="2">
        <v>0.24333333333333329</v>
      </c>
      <c r="Q65" s="2">
        <v>0.49</v>
      </c>
      <c r="R65" s="2">
        <v>0.39</v>
      </c>
      <c r="S65" s="2">
        <v>0.1466666666666667</v>
      </c>
      <c r="T65" s="2">
        <v>0.1466666666666667</v>
      </c>
      <c r="U65" s="2">
        <v>0.2416666666666667</v>
      </c>
      <c r="V65" s="2">
        <v>0.79</v>
      </c>
      <c r="W65" s="2">
        <v>0.29555555555555563</v>
      </c>
      <c r="X65" s="2">
        <v>0.1958333333333333</v>
      </c>
    </row>
    <row r="66" spans="1:24" outlineLevel="2" x14ac:dyDescent="0.25">
      <c r="A66" s="1">
        <v>15616005</v>
      </c>
      <c r="B66" s="1" t="s">
        <v>84</v>
      </c>
      <c r="C66" s="1">
        <v>115242</v>
      </c>
      <c r="D66" s="1" t="s">
        <v>34</v>
      </c>
      <c r="E66" s="1">
        <v>220273</v>
      </c>
      <c r="F66" s="1" t="s">
        <v>170</v>
      </c>
      <c r="G66" s="4">
        <v>0.1960683760683761</v>
      </c>
      <c r="H66" s="2">
        <v>0.14499999999999999</v>
      </c>
      <c r="I66" s="2">
        <v>0.1277777777777778</v>
      </c>
      <c r="J66" s="2">
        <v>0.29333333333333328</v>
      </c>
      <c r="K66" s="2">
        <v>0.48333333333333328</v>
      </c>
      <c r="L66" s="2">
        <v>0.26</v>
      </c>
      <c r="M66" s="2">
        <v>0.12083333333333331</v>
      </c>
      <c r="N66" s="2">
        <v>0.2416666666666667</v>
      </c>
      <c r="O66" s="2">
        <v>0.47666666666666668</v>
      </c>
      <c r="P66" s="2">
        <v>0.1022222222222222</v>
      </c>
      <c r="Q66" s="2">
        <v>0.47</v>
      </c>
      <c r="R66" s="2">
        <v>0.15777777777777779</v>
      </c>
      <c r="S66" s="2">
        <v>9.5000000000000001E-2</v>
      </c>
      <c r="T66" s="2">
        <v>9.6666666666666665E-2</v>
      </c>
      <c r="U66" s="2">
        <v>0.1933333333333333</v>
      </c>
      <c r="V66" s="2">
        <v>0.16916666666666669</v>
      </c>
      <c r="W66" s="2">
        <v>0.19222222222222221</v>
      </c>
      <c r="X66" s="2">
        <v>0.57333333333333336</v>
      </c>
    </row>
    <row r="67" spans="1:24" outlineLevel="2" x14ac:dyDescent="0.25">
      <c r="A67" s="1">
        <v>15616005</v>
      </c>
      <c r="B67" s="1" t="s">
        <v>84</v>
      </c>
      <c r="C67" s="1">
        <v>115242</v>
      </c>
      <c r="D67" s="1" t="s">
        <v>34</v>
      </c>
      <c r="E67" s="1">
        <v>188504</v>
      </c>
      <c r="F67" s="1" t="s">
        <v>223</v>
      </c>
      <c r="G67" s="4">
        <v>0.2732</v>
      </c>
      <c r="H67" s="2">
        <v>0.24333333333333329</v>
      </c>
      <c r="I67" s="2">
        <v>0.48333333333333328</v>
      </c>
      <c r="J67" s="2">
        <v>0.29666666666666669</v>
      </c>
      <c r="K67" s="2">
        <v>0.24333333333333329</v>
      </c>
      <c r="L67" s="2">
        <v>9.6666666666666665E-2</v>
      </c>
      <c r="M67" s="2">
        <v>0.245</v>
      </c>
      <c r="N67" s="2">
        <v>0.19666666666666671</v>
      </c>
      <c r="O67" s="2">
        <v>9.8333333333333328E-2</v>
      </c>
      <c r="P67" s="2">
        <v>0.38333333333333341</v>
      </c>
      <c r="Q67" s="2">
        <v>0.29666666666666669</v>
      </c>
      <c r="R67" s="2">
        <v>0.28999999999999998</v>
      </c>
      <c r="S67" s="2">
        <v>0.39333333333333331</v>
      </c>
      <c r="T67" s="2">
        <v>0.14833333333333329</v>
      </c>
      <c r="U67" s="2">
        <v>0.38666666666666671</v>
      </c>
      <c r="V67" s="2">
        <v>0.58666666666666667</v>
      </c>
      <c r="W67" s="2">
        <v>0.34166666666666667</v>
      </c>
      <c r="X67" s="2">
        <v>0.34166666666666667</v>
      </c>
    </row>
    <row r="68" spans="1:24" outlineLevel="1" x14ac:dyDescent="0.25">
      <c r="A68" s="7" t="str">
        <f>A67&amp;" - "&amp;B67</f>
        <v>15616005 - NRSG - 7 Wollman</v>
      </c>
      <c r="B68" s="7"/>
      <c r="C68" s="7"/>
      <c r="D68" s="7"/>
      <c r="E68" s="7"/>
      <c r="F68" s="7"/>
      <c r="G68" s="8">
        <f>SUBTOTAL(9,G64:G67)</f>
        <v>0.90245990675990684</v>
      </c>
      <c r="H68" s="8">
        <f>SUBTOTAL(9,H64:H67)</f>
        <v>1.0727777777777776</v>
      </c>
      <c r="I68" s="8">
        <f>SUBTOTAL(9,I64:I67)</f>
        <v>0.74711111111111106</v>
      </c>
      <c r="J68" s="8">
        <f>SUBTOTAL(9,J64:J67)</f>
        <v>0.76666666666666661</v>
      </c>
      <c r="K68" s="8">
        <f>SUBTOTAL(9,K64:K67)</f>
        <v>1.02</v>
      </c>
      <c r="L68" s="8">
        <f>SUBTOTAL(9,L64:L67)</f>
        <v>0.9011111111111112</v>
      </c>
      <c r="M68" s="8">
        <f>SUBTOTAL(9,M64:M67)</f>
        <v>0.75583333333333336</v>
      </c>
      <c r="N68" s="8">
        <f>SUBTOTAL(9,N64:N67)</f>
        <v>0.7711111111111113</v>
      </c>
      <c r="O68" s="8">
        <f>SUBTOTAL(9,O64:O67)</f>
        <v>1.6433333333333333</v>
      </c>
      <c r="P68" s="8">
        <f>SUBTOTAL(9,P64:P67)</f>
        <v>1.0205555555555557</v>
      </c>
      <c r="Q68" s="8">
        <f>SUBTOTAL(9,Q64:Q67)</f>
        <v>1.4983333333333333</v>
      </c>
      <c r="R68" s="8">
        <f>SUBTOTAL(9,R64:R67)</f>
        <v>1.0311111111111111</v>
      </c>
      <c r="S68" s="8">
        <f>SUBTOTAL(9,S64:S67)</f>
        <v>0.755</v>
      </c>
      <c r="T68" s="8">
        <f>SUBTOTAL(9,T64:T67)</f>
        <v>0.52055555555555555</v>
      </c>
      <c r="U68" s="8">
        <f>SUBTOTAL(9,U64:U67)</f>
        <v>1.0383333333333333</v>
      </c>
      <c r="V68" s="8">
        <f>SUBTOTAL(9,V64:V67)</f>
        <v>1.7358333333333333</v>
      </c>
      <c r="W68" s="8">
        <f>SUBTOTAL(9,W64:W67)</f>
        <v>1.4094444444444445</v>
      </c>
      <c r="X68" s="8">
        <f>SUBTOTAL(9,X64:X67)</f>
        <v>1.3363888888888891</v>
      </c>
    </row>
    <row r="69" spans="1:24" outlineLevel="2" x14ac:dyDescent="0.25">
      <c r="A69" s="1">
        <v>15619000</v>
      </c>
      <c r="B69" s="1" t="s">
        <v>104</v>
      </c>
      <c r="C69" s="1">
        <v>115242</v>
      </c>
      <c r="D69" s="1" t="s">
        <v>34</v>
      </c>
      <c r="E69" s="1">
        <v>565215</v>
      </c>
      <c r="F69" s="1" t="s">
        <v>105</v>
      </c>
      <c r="G69" s="4">
        <v>4.5221445221445222E-2</v>
      </c>
      <c r="H69" s="2">
        <v>3.0256410256410259E-2</v>
      </c>
      <c r="I69" s="2">
        <v>4.8750000000000002E-2</v>
      </c>
      <c r="J69" s="2">
        <v>3.9166666666666669E-2</v>
      </c>
      <c r="K69" s="2">
        <v>1.7575757575757571E-2</v>
      </c>
      <c r="L69" s="2">
        <v>2.1111111111111108E-2</v>
      </c>
      <c r="M69" s="2">
        <v>4.2727272727272718E-2</v>
      </c>
      <c r="N69" s="2">
        <v>5.3333333333333337E-2</v>
      </c>
      <c r="O69" s="2">
        <v>2.636363636363636E-2</v>
      </c>
      <c r="P69" s="2">
        <v>4.6333333333333331E-2</v>
      </c>
      <c r="Q69" s="2">
        <v>4.0952380952380962E-2</v>
      </c>
      <c r="R69" s="2">
        <v>3.5833333333333342E-2</v>
      </c>
      <c r="S69" s="2">
        <v>4.8518518518518523E-2</v>
      </c>
      <c r="T69" s="2">
        <v>3.4166666666666658E-2</v>
      </c>
      <c r="U69" s="2">
        <v>9.8333333333333328E-2</v>
      </c>
      <c r="V69" s="2">
        <v>9.7333333333333327E-2</v>
      </c>
      <c r="W69" s="2">
        <v>7.8666666666666663E-2</v>
      </c>
      <c r="X69" s="2">
        <v>0.19</v>
      </c>
    </row>
    <row r="70" spans="1:24" outlineLevel="1" x14ac:dyDescent="0.25">
      <c r="A70" s="7" t="str">
        <f>A69&amp;" - "&amp;B69</f>
        <v>15619000 - NRSG - 8 Wollman</v>
      </c>
      <c r="B70" s="7"/>
      <c r="C70" s="7"/>
      <c r="D70" s="7"/>
      <c r="E70" s="7"/>
      <c r="F70" s="7"/>
      <c r="G70" s="8">
        <f>SUBTOTAL(9,G69:G69)</f>
        <v>4.5221445221445222E-2</v>
      </c>
      <c r="H70" s="8">
        <f>SUBTOTAL(9,H69:H69)</f>
        <v>3.0256410256410259E-2</v>
      </c>
      <c r="I70" s="8">
        <f>SUBTOTAL(9,I69:I69)</f>
        <v>4.8750000000000002E-2</v>
      </c>
      <c r="J70" s="8">
        <f>SUBTOTAL(9,J69:J69)</f>
        <v>3.9166666666666669E-2</v>
      </c>
      <c r="K70" s="8">
        <f>SUBTOTAL(9,K69:K69)</f>
        <v>1.7575757575757571E-2</v>
      </c>
      <c r="L70" s="8">
        <f>SUBTOTAL(9,L69:L69)</f>
        <v>2.1111111111111108E-2</v>
      </c>
      <c r="M70" s="8">
        <f>SUBTOTAL(9,M69:M69)</f>
        <v>4.2727272727272718E-2</v>
      </c>
      <c r="N70" s="8">
        <f>SUBTOTAL(9,N69:N69)</f>
        <v>5.3333333333333337E-2</v>
      </c>
      <c r="O70" s="8">
        <f>SUBTOTAL(9,O69:O69)</f>
        <v>2.636363636363636E-2</v>
      </c>
      <c r="P70" s="8">
        <f>SUBTOTAL(9,P69:P69)</f>
        <v>4.6333333333333331E-2</v>
      </c>
      <c r="Q70" s="8">
        <f>SUBTOTAL(9,Q69:Q69)</f>
        <v>4.0952380952380962E-2</v>
      </c>
      <c r="R70" s="8">
        <f>SUBTOTAL(9,R69:R69)</f>
        <v>3.5833333333333342E-2</v>
      </c>
      <c r="S70" s="8">
        <f>SUBTOTAL(9,S69:S69)</f>
        <v>4.8518518518518523E-2</v>
      </c>
      <c r="T70" s="8">
        <f>SUBTOTAL(9,T69:T69)</f>
        <v>3.4166666666666658E-2</v>
      </c>
      <c r="U70" s="8">
        <f>SUBTOTAL(9,U69:U69)</f>
        <v>9.8333333333333328E-2</v>
      </c>
      <c r="V70" s="8">
        <f>SUBTOTAL(9,V69:V69)</f>
        <v>9.7333333333333327E-2</v>
      </c>
      <c r="W70" s="8">
        <f>SUBTOTAL(9,W69:W69)</f>
        <v>7.8666666666666663E-2</v>
      </c>
      <c r="X70" s="8">
        <f>SUBTOTAL(9,X69:X69)</f>
        <v>0.19</v>
      </c>
    </row>
    <row r="71" spans="1:24" outlineLevel="2" x14ac:dyDescent="0.25">
      <c r="A71" s="1">
        <v>15619030</v>
      </c>
      <c r="B71" s="1" t="s">
        <v>132</v>
      </c>
      <c r="C71" s="1">
        <v>115242</v>
      </c>
      <c r="D71" s="1" t="s">
        <v>34</v>
      </c>
      <c r="E71" s="1">
        <v>540181</v>
      </c>
      <c r="F71" s="1" t="s">
        <v>133</v>
      </c>
      <c r="G71" s="4">
        <v>0.1951754385964912</v>
      </c>
      <c r="H71" s="2">
        <v>0.14333333333333331</v>
      </c>
      <c r="I71" s="2">
        <v>0.12333333333333329</v>
      </c>
      <c r="J71" s="2">
        <v>0.12888888888888889</v>
      </c>
      <c r="K71" s="2">
        <v>0.1933333333333333</v>
      </c>
      <c r="L71" s="2">
        <v>0.1516666666666667</v>
      </c>
      <c r="M71" s="2">
        <v>0.29499999999999998</v>
      </c>
      <c r="N71" s="2">
        <v>0.2416666666666667</v>
      </c>
      <c r="O71" s="2">
        <v>0.2416666666666667</v>
      </c>
      <c r="P71" s="2">
        <v>0.1933333333333333</v>
      </c>
      <c r="Q71" s="2">
        <v>0.14499999999999999</v>
      </c>
      <c r="R71" s="2">
        <v>0.33833333333333332</v>
      </c>
      <c r="S71" s="2">
        <v>9.6666666666666665E-2</v>
      </c>
      <c r="T71" s="2">
        <v>0.12888888888888889</v>
      </c>
      <c r="U71" s="2">
        <v>0.1333333333333333</v>
      </c>
      <c r="V71" s="2">
        <v>0.32833333333333331</v>
      </c>
      <c r="W71" s="2">
        <v>0.16111111111111109</v>
      </c>
      <c r="X71" s="2">
        <v>0.38833333333333331</v>
      </c>
    </row>
    <row r="72" spans="1:24" outlineLevel="1" x14ac:dyDescent="0.25">
      <c r="A72" s="7" t="str">
        <f>A71&amp;" - "&amp;B71</f>
        <v>15619030 - NRSG - 8 East</v>
      </c>
      <c r="B72" s="7"/>
      <c r="C72" s="7"/>
      <c r="D72" s="7"/>
      <c r="E72" s="7"/>
      <c r="F72" s="7"/>
      <c r="G72" s="8">
        <f>SUBTOTAL(9,G71:G71)</f>
        <v>0.1951754385964912</v>
      </c>
      <c r="H72" s="8">
        <f>SUBTOTAL(9,H71:H71)</f>
        <v>0.14333333333333331</v>
      </c>
      <c r="I72" s="8">
        <f>SUBTOTAL(9,I71:I71)</f>
        <v>0.12333333333333329</v>
      </c>
      <c r="J72" s="8">
        <f>SUBTOTAL(9,J71:J71)</f>
        <v>0.12888888888888889</v>
      </c>
      <c r="K72" s="8">
        <f>SUBTOTAL(9,K71:K71)</f>
        <v>0.1933333333333333</v>
      </c>
      <c r="L72" s="8">
        <f>SUBTOTAL(9,L71:L71)</f>
        <v>0.1516666666666667</v>
      </c>
      <c r="M72" s="8">
        <f>SUBTOTAL(9,M71:M71)</f>
        <v>0.29499999999999998</v>
      </c>
      <c r="N72" s="8">
        <f>SUBTOTAL(9,N71:N71)</f>
        <v>0.2416666666666667</v>
      </c>
      <c r="O72" s="8">
        <f>SUBTOTAL(9,O71:O71)</f>
        <v>0.2416666666666667</v>
      </c>
      <c r="P72" s="8">
        <f>SUBTOTAL(9,P71:P71)</f>
        <v>0.1933333333333333</v>
      </c>
      <c r="Q72" s="8">
        <f>SUBTOTAL(9,Q71:Q71)</f>
        <v>0.14499999999999999</v>
      </c>
      <c r="R72" s="8">
        <f>SUBTOTAL(9,R71:R71)</f>
        <v>0.33833333333333332</v>
      </c>
      <c r="S72" s="8">
        <f>SUBTOTAL(9,S71:S71)</f>
        <v>9.6666666666666665E-2</v>
      </c>
      <c r="T72" s="8">
        <f>SUBTOTAL(9,T71:T71)</f>
        <v>0.12888888888888889</v>
      </c>
      <c r="U72" s="8">
        <f>SUBTOTAL(9,U71:U71)</f>
        <v>0.1333333333333333</v>
      </c>
      <c r="V72" s="8">
        <f>SUBTOTAL(9,V71:V71)</f>
        <v>0.32833333333333331</v>
      </c>
      <c r="W72" s="8">
        <f>SUBTOTAL(9,W71:W71)</f>
        <v>0.16111111111111109</v>
      </c>
      <c r="X72" s="8">
        <f>SUBTOTAL(9,X71:X71)</f>
        <v>0.38833333333333331</v>
      </c>
    </row>
    <row r="73" spans="1:24" outlineLevel="2" x14ac:dyDescent="0.25">
      <c r="A73" s="1">
        <v>15620070</v>
      </c>
      <c r="B73" s="1" t="s">
        <v>63</v>
      </c>
      <c r="C73" s="1">
        <v>110330</v>
      </c>
      <c r="D73" s="1" t="s">
        <v>64</v>
      </c>
      <c r="E73" s="1">
        <v>232287</v>
      </c>
      <c r="F73" s="1" t="s">
        <v>65</v>
      </c>
      <c r="G73" s="4">
        <v>0.86627450980392162</v>
      </c>
      <c r="H73" s="2">
        <v>0.98666666666666669</v>
      </c>
      <c r="I73" s="2">
        <v>0.88</v>
      </c>
      <c r="J73" s="2">
        <v>1.04</v>
      </c>
      <c r="K73" s="2">
        <v>0.80666666666666664</v>
      </c>
      <c r="L73" s="2">
        <v>0.8666666666666667</v>
      </c>
      <c r="M73" s="2">
        <v>0.68</v>
      </c>
      <c r="N73" s="2">
        <v>0.84666666666666668</v>
      </c>
      <c r="O73" s="2">
        <v>0.7533333333333333</v>
      </c>
      <c r="P73" s="2">
        <v>0.94</v>
      </c>
      <c r="Q73" s="2">
        <v>0.92666666666666664</v>
      </c>
      <c r="R73" s="2">
        <v>0.68666666666666665</v>
      </c>
      <c r="S73" s="2">
        <v>0.78666666666666663</v>
      </c>
      <c r="T73" s="2">
        <v>0.84</v>
      </c>
      <c r="U73" s="2">
        <v>0.92666666666666664</v>
      </c>
      <c r="V73" s="2">
        <v>0.88666666666666671</v>
      </c>
      <c r="W73" s="2">
        <v>0.88666666666666671</v>
      </c>
      <c r="X73" s="2">
        <v>0.98666666666666669</v>
      </c>
    </row>
    <row r="74" spans="1:24" outlineLevel="2" x14ac:dyDescent="0.25">
      <c r="A74" s="1">
        <v>15620070</v>
      </c>
      <c r="B74" s="1" t="s">
        <v>63</v>
      </c>
      <c r="C74" s="1">
        <v>110330</v>
      </c>
      <c r="D74" s="1" t="s">
        <v>64</v>
      </c>
      <c r="E74" s="1">
        <v>156979</v>
      </c>
      <c r="F74" s="1" t="s">
        <v>192</v>
      </c>
      <c r="G74" s="4">
        <v>0.70470588235294118</v>
      </c>
      <c r="H74" s="2">
        <v>0.37666666666666659</v>
      </c>
      <c r="I74" s="2">
        <v>0.50666666666666671</v>
      </c>
      <c r="J74" s="2">
        <v>0.91</v>
      </c>
      <c r="K74" s="2">
        <v>0.75560000000000005</v>
      </c>
      <c r="L74" s="2">
        <v>0.92</v>
      </c>
      <c r="M74" s="2">
        <v>1</v>
      </c>
      <c r="N74" s="2">
        <v>0.90666666666666662</v>
      </c>
      <c r="O74" s="2">
        <v>0.72666666666666668</v>
      </c>
      <c r="P74" s="2">
        <v>0.59773333333333334</v>
      </c>
      <c r="Q74" s="2">
        <v>0.41333333333333327</v>
      </c>
      <c r="R74" s="2">
        <v>0.2</v>
      </c>
      <c r="S74" s="2">
        <v>0.30666666666666659</v>
      </c>
      <c r="T74" s="2">
        <v>0.85333333333333339</v>
      </c>
      <c r="U74" s="2">
        <v>0.90333333333333332</v>
      </c>
      <c r="V74" s="2">
        <v>0.79333333333333333</v>
      </c>
      <c r="W74" s="2">
        <v>0.9</v>
      </c>
      <c r="X74" s="2">
        <v>0.91</v>
      </c>
    </row>
    <row r="75" spans="1:24" outlineLevel="2" x14ac:dyDescent="0.25">
      <c r="A75" s="1">
        <v>15620070</v>
      </c>
      <c r="B75" s="1" t="s">
        <v>63</v>
      </c>
      <c r="C75" s="1">
        <v>110330</v>
      </c>
      <c r="D75" s="1" t="s">
        <v>64</v>
      </c>
      <c r="E75" s="1">
        <v>213623</v>
      </c>
      <c r="F75" s="1" t="s">
        <v>220</v>
      </c>
      <c r="G75" s="4">
        <v>0.4361176470588235</v>
      </c>
      <c r="H75" s="2">
        <v>0.6333333333333333</v>
      </c>
      <c r="I75" s="2">
        <v>0</v>
      </c>
      <c r="J75" s="2">
        <v>0.35333333333333328</v>
      </c>
      <c r="K75" s="2">
        <v>0.66666666666666663</v>
      </c>
      <c r="L75" s="2">
        <v>0.56666666666666665</v>
      </c>
      <c r="M75" s="2">
        <v>0.36666666666666659</v>
      </c>
      <c r="N75" s="2">
        <v>0.2</v>
      </c>
      <c r="O75" s="2">
        <v>0.5</v>
      </c>
      <c r="P75" s="2">
        <v>0.4</v>
      </c>
      <c r="Q75" s="2">
        <v>0.5</v>
      </c>
      <c r="R75" s="2">
        <v>0.46666666666666667</v>
      </c>
      <c r="S75" s="2">
        <v>0.4</v>
      </c>
      <c r="T75" s="2">
        <v>0.4</v>
      </c>
      <c r="U75" s="2">
        <v>0.53333333333333333</v>
      </c>
      <c r="V75" s="2">
        <v>0.5</v>
      </c>
      <c r="W75" s="2">
        <v>0.56666666666666665</v>
      </c>
      <c r="X75" s="2">
        <v>0.36066666666666669</v>
      </c>
    </row>
    <row r="76" spans="1:24" outlineLevel="1" x14ac:dyDescent="0.25">
      <c r="A76" s="7" t="str">
        <f>A75&amp;" - "&amp;B75</f>
        <v>15620070 - Patient Transport Services</v>
      </c>
      <c r="B76" s="7"/>
      <c r="C76" s="7"/>
      <c r="D76" s="7"/>
      <c r="E76" s="7"/>
      <c r="F76" s="7"/>
      <c r="G76" s="8">
        <f>SUBTOTAL(9,G73:G75)</f>
        <v>2.0070980392156863</v>
      </c>
      <c r="H76" s="8">
        <f>SUBTOTAL(9,H73:H75)</f>
        <v>1.9966666666666666</v>
      </c>
      <c r="I76" s="8">
        <f>SUBTOTAL(9,I73:I75)</f>
        <v>1.3866666666666667</v>
      </c>
      <c r="J76" s="8">
        <f>SUBTOTAL(9,J73:J75)</f>
        <v>2.3033333333333337</v>
      </c>
      <c r="K76" s="8">
        <f>SUBTOTAL(9,K73:K75)</f>
        <v>2.2289333333333334</v>
      </c>
      <c r="L76" s="8">
        <f>SUBTOTAL(9,L73:L75)</f>
        <v>2.3533333333333335</v>
      </c>
      <c r="M76" s="8">
        <f>SUBTOTAL(9,M73:M75)</f>
        <v>2.0466666666666669</v>
      </c>
      <c r="N76" s="8">
        <f>SUBTOTAL(9,N73:N75)</f>
        <v>1.9533333333333334</v>
      </c>
      <c r="O76" s="8">
        <f>SUBTOTAL(9,O73:O75)</f>
        <v>1.98</v>
      </c>
      <c r="P76" s="8">
        <f>SUBTOTAL(9,P73:P75)</f>
        <v>1.9377333333333331</v>
      </c>
      <c r="Q76" s="8">
        <f>SUBTOTAL(9,Q73:Q75)</f>
        <v>1.8399999999999999</v>
      </c>
      <c r="R76" s="8">
        <f>SUBTOTAL(9,R73:R75)</f>
        <v>1.3533333333333335</v>
      </c>
      <c r="S76" s="8">
        <f>SUBTOTAL(9,S73:S75)</f>
        <v>1.4933333333333332</v>
      </c>
      <c r="T76" s="8">
        <f>SUBTOTAL(9,T73:T75)</f>
        <v>2.0933333333333333</v>
      </c>
      <c r="U76" s="8">
        <f>SUBTOTAL(9,U73:U75)</f>
        <v>2.3633333333333333</v>
      </c>
      <c r="V76" s="8">
        <f>SUBTOTAL(9,V73:V75)</f>
        <v>2.1800000000000002</v>
      </c>
      <c r="W76" s="8">
        <f>SUBTOTAL(9,W73:W75)</f>
        <v>2.3533333333333335</v>
      </c>
      <c r="X76" s="8">
        <f>SUBTOTAL(9,X73:X75)</f>
        <v>2.2573333333333334</v>
      </c>
    </row>
    <row r="77" spans="1:24" outlineLevel="2" x14ac:dyDescent="0.25">
      <c r="A77" s="1">
        <v>15624000</v>
      </c>
      <c r="B77" s="1" t="s">
        <v>198</v>
      </c>
      <c r="C77" s="1">
        <v>108312</v>
      </c>
      <c r="D77" s="1" t="s">
        <v>199</v>
      </c>
      <c r="E77" s="1">
        <v>440449</v>
      </c>
      <c r="F77" s="1" t="s">
        <v>200</v>
      </c>
      <c r="G77" s="4">
        <v>0.44725490196078432</v>
      </c>
      <c r="H77" s="2">
        <v>0.30333333333333329</v>
      </c>
      <c r="I77" s="2">
        <v>0.30666666666666659</v>
      </c>
      <c r="J77" s="2">
        <v>0.5033333333333333</v>
      </c>
      <c r="K77" s="2">
        <v>0.46333333333333332</v>
      </c>
      <c r="L77" s="2">
        <v>0.42666666666666669</v>
      </c>
      <c r="M77" s="2">
        <v>0.1</v>
      </c>
      <c r="N77" s="2">
        <v>0.72</v>
      </c>
      <c r="O77" s="2">
        <v>0.68</v>
      </c>
      <c r="P77" s="2">
        <v>0.65333333333333332</v>
      </c>
      <c r="Q77" s="2">
        <v>0.62333333333333329</v>
      </c>
      <c r="R77" s="2">
        <v>0.46666666666666667</v>
      </c>
      <c r="S77" s="2">
        <v>0.46</v>
      </c>
      <c r="T77" s="2">
        <v>0.24333333333333329</v>
      </c>
      <c r="U77" s="2">
        <v>0.35666666666666669</v>
      </c>
      <c r="V77" s="2">
        <v>0.56666666666666665</v>
      </c>
      <c r="W77" s="2">
        <v>0.26333333333333331</v>
      </c>
      <c r="X77" s="2">
        <v>0.46666666666666667</v>
      </c>
    </row>
    <row r="78" spans="1:24" outlineLevel="1" x14ac:dyDescent="0.25">
      <c r="A78" s="7" t="str">
        <f>A77&amp;" - "&amp;B77</f>
        <v>15624000 - Neurology</v>
      </c>
      <c r="B78" s="7"/>
      <c r="C78" s="7"/>
      <c r="D78" s="7"/>
      <c r="E78" s="7"/>
      <c r="F78" s="7"/>
      <c r="G78" s="8">
        <f>SUBTOTAL(9,G77:G77)</f>
        <v>0.44725490196078432</v>
      </c>
      <c r="H78" s="8">
        <f>SUBTOTAL(9,H77:H77)</f>
        <v>0.30333333333333329</v>
      </c>
      <c r="I78" s="8">
        <f>SUBTOTAL(9,I77:I77)</f>
        <v>0.30666666666666659</v>
      </c>
      <c r="J78" s="8">
        <f>SUBTOTAL(9,J77:J77)</f>
        <v>0.5033333333333333</v>
      </c>
      <c r="K78" s="8">
        <f>SUBTOTAL(9,K77:K77)</f>
        <v>0.46333333333333332</v>
      </c>
      <c r="L78" s="8">
        <f>SUBTOTAL(9,L77:L77)</f>
        <v>0.42666666666666669</v>
      </c>
      <c r="M78" s="8">
        <f>SUBTOTAL(9,M77:M77)</f>
        <v>0.1</v>
      </c>
      <c r="N78" s="8">
        <f>SUBTOTAL(9,N77:N77)</f>
        <v>0.72</v>
      </c>
      <c r="O78" s="8">
        <f>SUBTOTAL(9,O77:O77)</f>
        <v>0.68</v>
      </c>
      <c r="P78" s="8">
        <f>SUBTOTAL(9,P77:P77)</f>
        <v>0.65333333333333332</v>
      </c>
      <c r="Q78" s="8">
        <f>SUBTOTAL(9,Q77:Q77)</f>
        <v>0.62333333333333329</v>
      </c>
      <c r="R78" s="8">
        <f>SUBTOTAL(9,R77:R77)</f>
        <v>0.46666666666666667</v>
      </c>
      <c r="S78" s="8">
        <f>SUBTOTAL(9,S77:S77)</f>
        <v>0.46</v>
      </c>
      <c r="T78" s="8">
        <f>SUBTOTAL(9,T77:T77)</f>
        <v>0.24333333333333329</v>
      </c>
      <c r="U78" s="8">
        <f>SUBTOTAL(9,U77:U77)</f>
        <v>0.35666666666666669</v>
      </c>
      <c r="V78" s="8">
        <f>SUBTOTAL(9,V77:V77)</f>
        <v>0.56666666666666665</v>
      </c>
      <c r="W78" s="8">
        <f>SUBTOTAL(9,W77:W77)</f>
        <v>0.26333333333333331</v>
      </c>
      <c r="X78" s="8">
        <f>SUBTOTAL(9,X77:X77)</f>
        <v>0.46666666666666667</v>
      </c>
    </row>
    <row r="79" spans="1:24" outlineLevel="2" x14ac:dyDescent="0.25">
      <c r="A79" s="1">
        <v>15650020</v>
      </c>
      <c r="B79" s="1" t="s">
        <v>73</v>
      </c>
      <c r="C79" s="1">
        <v>108403</v>
      </c>
      <c r="D79" s="1" t="s">
        <v>74</v>
      </c>
      <c r="E79" s="1">
        <v>514057</v>
      </c>
      <c r="F79" s="1" t="s">
        <v>75</v>
      </c>
      <c r="G79" s="4">
        <v>0.26397058823529412</v>
      </c>
      <c r="H79" s="2">
        <v>0.2</v>
      </c>
      <c r="I79" s="2">
        <v>0.15</v>
      </c>
      <c r="J79" s="2">
        <v>0.25</v>
      </c>
      <c r="K79" s="2">
        <v>0.25</v>
      </c>
      <c r="L79" s="2">
        <v>0.25714285714285712</v>
      </c>
      <c r="M79" s="2">
        <v>0.2</v>
      </c>
      <c r="N79" s="2">
        <v>0.23214285714285721</v>
      </c>
      <c r="O79" s="2">
        <v>0.22857142857142859</v>
      </c>
      <c r="P79" s="2">
        <v>0.30892857142857139</v>
      </c>
      <c r="Q79" s="2">
        <v>0.15</v>
      </c>
      <c r="R79" s="2">
        <v>0.35</v>
      </c>
      <c r="S79" s="2">
        <v>0.4107142857142857</v>
      </c>
      <c r="T79" s="2">
        <v>0.4</v>
      </c>
      <c r="U79" s="2">
        <v>0.35</v>
      </c>
      <c r="V79" s="2">
        <v>0.35</v>
      </c>
      <c r="W79" s="2">
        <v>0.3</v>
      </c>
      <c r="X79" s="2">
        <v>0.1</v>
      </c>
    </row>
    <row r="80" spans="1:24" outlineLevel="2" x14ac:dyDescent="0.25">
      <c r="A80" s="1">
        <v>15650020</v>
      </c>
      <c r="B80" s="1" t="s">
        <v>73</v>
      </c>
      <c r="C80" s="1">
        <v>108410</v>
      </c>
      <c r="D80" s="1" t="s">
        <v>154</v>
      </c>
      <c r="E80" s="1">
        <v>157387</v>
      </c>
      <c r="F80" s="1" t="s">
        <v>155</v>
      </c>
      <c r="G80" s="4">
        <v>0.21274131274131269</v>
      </c>
      <c r="H80" s="2">
        <v>0.45</v>
      </c>
      <c r="I80" s="2">
        <v>0.3</v>
      </c>
      <c r="J80" s="2">
        <v>0.36071428571428571</v>
      </c>
      <c r="K80" s="2">
        <v>0.30714285714285722</v>
      </c>
      <c r="L80" s="2">
        <v>0.38214285714285712</v>
      </c>
      <c r="M80" s="2">
        <v>0.16607142857142859</v>
      </c>
      <c r="N80" s="2">
        <v>0.16964285714285721</v>
      </c>
      <c r="O80" s="2">
        <v>0.3</v>
      </c>
      <c r="P80" s="2">
        <v>0.2</v>
      </c>
      <c r="Q80" s="2">
        <v>0.1107142857142857</v>
      </c>
      <c r="R80" s="2">
        <v>0.15</v>
      </c>
      <c r="S80" s="2">
        <v>0.2</v>
      </c>
      <c r="T80" s="2">
        <v>0.13452380952380949</v>
      </c>
      <c r="U80" s="2">
        <v>0.1119047619047619</v>
      </c>
      <c r="V80" s="2">
        <v>0.1333333333333333</v>
      </c>
      <c r="W80" s="2">
        <v>0.11964285714285711</v>
      </c>
      <c r="X80" s="2">
        <v>0.16666666666666671</v>
      </c>
    </row>
    <row r="81" spans="1:24" outlineLevel="2" x14ac:dyDescent="0.25">
      <c r="A81" s="1">
        <v>15650020</v>
      </c>
      <c r="B81" s="1" t="s">
        <v>73</v>
      </c>
      <c r="C81" s="1">
        <v>108410</v>
      </c>
      <c r="D81" s="1" t="s">
        <v>154</v>
      </c>
      <c r="E81" s="1">
        <v>159563</v>
      </c>
      <c r="F81" s="1" t="s">
        <v>266</v>
      </c>
      <c r="G81" s="4">
        <v>0.35574369747899159</v>
      </c>
      <c r="H81" s="2">
        <v>0.3</v>
      </c>
      <c r="I81" s="2">
        <v>0.49942857142857139</v>
      </c>
      <c r="J81" s="2">
        <v>0.35535714285714293</v>
      </c>
      <c r="K81" s="2">
        <v>0.4</v>
      </c>
      <c r="L81" s="2">
        <v>0.30714285714285722</v>
      </c>
      <c r="M81" s="2">
        <v>0.4</v>
      </c>
      <c r="N81" s="2">
        <v>0.35</v>
      </c>
      <c r="O81" s="2">
        <v>0.35</v>
      </c>
      <c r="P81" s="2">
        <v>0.375</v>
      </c>
      <c r="Q81" s="2">
        <v>0.47857142857142859</v>
      </c>
      <c r="R81" s="2">
        <v>0.47499999999999998</v>
      </c>
      <c r="S81" s="2">
        <v>0.42499999999999999</v>
      </c>
      <c r="T81" s="2">
        <v>0.23571428571428571</v>
      </c>
      <c r="U81" s="2">
        <v>0.23571428571428571</v>
      </c>
      <c r="V81" s="2">
        <v>0.27857142857142858</v>
      </c>
      <c r="W81" s="2">
        <v>0.29285714285714293</v>
      </c>
      <c r="X81" s="2">
        <v>0.28928571428571431</v>
      </c>
    </row>
    <row r="82" spans="1:24" outlineLevel="1" x14ac:dyDescent="0.25">
      <c r="A82" s="7" t="str">
        <f>A81&amp;" - "&amp;B81</f>
        <v>15650020 - Lab-Chemistry</v>
      </c>
      <c r="B82" s="7"/>
      <c r="C82" s="7"/>
      <c r="D82" s="7"/>
      <c r="E82" s="7"/>
      <c r="F82" s="7"/>
      <c r="G82" s="8">
        <f>SUBTOTAL(9,G79:G81)</f>
        <v>0.83245559845559836</v>
      </c>
      <c r="H82" s="8">
        <f>SUBTOTAL(9,H79:H81)</f>
        <v>0.95</v>
      </c>
      <c r="I82" s="8">
        <f>SUBTOTAL(9,I79:I81)</f>
        <v>0.94942857142857129</v>
      </c>
      <c r="J82" s="8">
        <f>SUBTOTAL(9,J79:J81)</f>
        <v>0.96607142857142869</v>
      </c>
      <c r="K82" s="8">
        <f>SUBTOTAL(9,K79:K81)</f>
        <v>0.95714285714285718</v>
      </c>
      <c r="L82" s="8">
        <f>SUBTOTAL(9,L79:L81)</f>
        <v>0.9464285714285714</v>
      </c>
      <c r="M82" s="8">
        <f>SUBTOTAL(9,M79:M81)</f>
        <v>0.76607142857142863</v>
      </c>
      <c r="N82" s="8">
        <f>SUBTOTAL(9,N79:N81)</f>
        <v>0.75178571428571439</v>
      </c>
      <c r="O82" s="8">
        <f>SUBTOTAL(9,O79:O81)</f>
        <v>0.87857142857142856</v>
      </c>
      <c r="P82" s="8">
        <f>SUBTOTAL(9,P79:P81)</f>
        <v>0.8839285714285714</v>
      </c>
      <c r="Q82" s="8">
        <f>SUBTOTAL(9,Q79:Q81)</f>
        <v>0.73928571428571432</v>
      </c>
      <c r="R82" s="8">
        <f>SUBTOTAL(9,R79:R81)</f>
        <v>0.97499999999999998</v>
      </c>
      <c r="S82" s="8">
        <f>SUBTOTAL(9,S79:S81)</f>
        <v>1.0357142857142858</v>
      </c>
      <c r="T82" s="8">
        <f>SUBTOTAL(9,T79:T81)</f>
        <v>0.77023809523809517</v>
      </c>
      <c r="U82" s="8">
        <f>SUBTOTAL(9,U79:U81)</f>
        <v>0.69761904761904758</v>
      </c>
      <c r="V82" s="8">
        <f>SUBTOTAL(9,V79:V81)</f>
        <v>0.76190476190476186</v>
      </c>
      <c r="W82" s="8">
        <f>SUBTOTAL(9,W79:W81)</f>
        <v>0.71250000000000002</v>
      </c>
      <c r="X82" s="8">
        <f>SUBTOTAL(9,X79:X81)</f>
        <v>0.55595238095238098</v>
      </c>
    </row>
    <row r="83" spans="1:24" outlineLevel="2" x14ac:dyDescent="0.25">
      <c r="A83" s="1">
        <v>15650030</v>
      </c>
      <c r="B83" s="1" t="s">
        <v>125</v>
      </c>
      <c r="C83" s="1">
        <v>108403</v>
      </c>
      <c r="D83" s="1" t="s">
        <v>74</v>
      </c>
      <c r="E83" s="1">
        <v>169473</v>
      </c>
      <c r="F83" s="1" t="s">
        <v>126</v>
      </c>
      <c r="G83" s="4">
        <v>0.22488479262672811</v>
      </c>
      <c r="H83" s="2">
        <v>0.2392857142857143</v>
      </c>
      <c r="I83" s="2">
        <v>0.25</v>
      </c>
      <c r="J83" s="2">
        <v>0.05</v>
      </c>
      <c r="K83" s="2">
        <v>0.18928571428571431</v>
      </c>
      <c r="L83" s="2">
        <v>0.2</v>
      </c>
      <c r="M83" s="2">
        <v>0.15</v>
      </c>
      <c r="N83" s="2">
        <v>0.13928571428571429</v>
      </c>
      <c r="O83" s="2">
        <v>0.4</v>
      </c>
      <c r="P83" s="2">
        <v>0.6</v>
      </c>
      <c r="Q83" s="2">
        <v>0.5</v>
      </c>
      <c r="R83" s="2">
        <v>0.25</v>
      </c>
      <c r="S83" s="2">
        <v>0.25</v>
      </c>
      <c r="T83" s="2">
        <v>0.28928571428571431</v>
      </c>
      <c r="U83" s="2">
        <v>0.2</v>
      </c>
      <c r="V83" s="2">
        <v>0.3392857142857143</v>
      </c>
      <c r="W83" s="2">
        <v>0.05</v>
      </c>
      <c r="X83" s="2">
        <v>0.13928571428571429</v>
      </c>
    </row>
    <row r="84" spans="1:24" outlineLevel="1" x14ac:dyDescent="0.25">
      <c r="A84" s="7" t="str">
        <f>A83&amp;" - "&amp;B83</f>
        <v>15650030 - Lab - Hematology</v>
      </c>
      <c r="B84" s="7"/>
      <c r="C84" s="7"/>
      <c r="D84" s="7"/>
      <c r="E84" s="7"/>
      <c r="F84" s="7"/>
      <c r="G84" s="8">
        <f>SUBTOTAL(9,G83:G83)</f>
        <v>0.22488479262672811</v>
      </c>
      <c r="H84" s="8">
        <f>SUBTOTAL(9,H83:H83)</f>
        <v>0.2392857142857143</v>
      </c>
      <c r="I84" s="8">
        <f>SUBTOTAL(9,I83:I83)</f>
        <v>0.25</v>
      </c>
      <c r="J84" s="8">
        <f>SUBTOTAL(9,J83:J83)</f>
        <v>0.05</v>
      </c>
      <c r="K84" s="8">
        <f>SUBTOTAL(9,K83:K83)</f>
        <v>0.18928571428571431</v>
      </c>
      <c r="L84" s="8">
        <f>SUBTOTAL(9,L83:L83)</f>
        <v>0.2</v>
      </c>
      <c r="M84" s="8">
        <f>SUBTOTAL(9,M83:M83)</f>
        <v>0.15</v>
      </c>
      <c r="N84" s="8">
        <f>SUBTOTAL(9,N83:N83)</f>
        <v>0.13928571428571429</v>
      </c>
      <c r="O84" s="8">
        <f>SUBTOTAL(9,O83:O83)</f>
        <v>0.4</v>
      </c>
      <c r="P84" s="8">
        <f>SUBTOTAL(9,P83:P83)</f>
        <v>0.6</v>
      </c>
      <c r="Q84" s="8">
        <f>SUBTOTAL(9,Q83:Q83)</f>
        <v>0.5</v>
      </c>
      <c r="R84" s="8">
        <f>SUBTOTAL(9,R83:R83)</f>
        <v>0.25</v>
      </c>
      <c r="S84" s="8">
        <f>SUBTOTAL(9,S83:S83)</f>
        <v>0.25</v>
      </c>
      <c r="T84" s="8">
        <f>SUBTOTAL(9,T83:T83)</f>
        <v>0.28928571428571431</v>
      </c>
      <c r="U84" s="8">
        <f>SUBTOTAL(9,U83:U83)</f>
        <v>0.2</v>
      </c>
      <c r="V84" s="8">
        <f>SUBTOTAL(9,V83:V83)</f>
        <v>0.3392857142857143</v>
      </c>
      <c r="W84" s="8">
        <f>SUBTOTAL(9,W83:W83)</f>
        <v>0.05</v>
      </c>
      <c r="X84" s="8">
        <f>SUBTOTAL(9,X83:X83)</f>
        <v>0.13928571428571429</v>
      </c>
    </row>
    <row r="85" spans="1:24" outlineLevel="2" x14ac:dyDescent="0.25">
      <c r="A85" s="1">
        <v>15650160</v>
      </c>
      <c r="B85" s="1" t="s">
        <v>164</v>
      </c>
      <c r="C85" s="1">
        <v>108215</v>
      </c>
      <c r="D85" s="1" t="s">
        <v>213</v>
      </c>
      <c r="E85" s="1">
        <v>255746</v>
      </c>
      <c r="F85" s="1" t="s">
        <v>214</v>
      </c>
      <c r="G85" s="4">
        <v>6.2417142857142859E-2</v>
      </c>
      <c r="H85" s="2">
        <v>0.05</v>
      </c>
      <c r="I85" s="2">
        <v>6.6071428571428573E-2</v>
      </c>
      <c r="J85" s="2">
        <v>6.3696428571428571E-2</v>
      </c>
      <c r="K85" s="2">
        <v>7.0918367346938779E-2</v>
      </c>
      <c r="L85" s="2">
        <v>7.9081632653061229E-2</v>
      </c>
      <c r="M85" s="2">
        <v>0.1113095238095238</v>
      </c>
      <c r="N85" s="2">
        <v>5.3174603174603173E-2</v>
      </c>
      <c r="O85" s="2">
        <v>9.4047619047619047E-2</v>
      </c>
      <c r="P85" s="2">
        <v>3.3163265306122451E-2</v>
      </c>
      <c r="Q85" s="2">
        <v>7.9081632653061229E-2</v>
      </c>
      <c r="R85" s="2">
        <v>0.119047619047619</v>
      </c>
      <c r="S85" s="2">
        <v>3.0102040816326531E-2</v>
      </c>
      <c r="T85" s="2">
        <v>5.4081632653061228E-2</v>
      </c>
      <c r="U85" s="2">
        <v>0</v>
      </c>
      <c r="V85" s="2">
        <v>0</v>
      </c>
      <c r="W85" s="2">
        <v>0</v>
      </c>
      <c r="X85" s="2">
        <v>3.5714285714285709E-3</v>
      </c>
    </row>
    <row r="86" spans="1:24" outlineLevel="2" x14ac:dyDescent="0.25">
      <c r="A86" s="1">
        <v>15650160</v>
      </c>
      <c r="B86" s="1" t="s">
        <v>164</v>
      </c>
      <c r="C86" s="1">
        <v>202457</v>
      </c>
      <c r="D86" s="1" t="s">
        <v>165</v>
      </c>
      <c r="E86" s="1">
        <v>241770</v>
      </c>
      <c r="F86" s="1" t="s">
        <v>166</v>
      </c>
      <c r="G86" s="4">
        <v>0.37862745098039208</v>
      </c>
      <c r="H86" s="2">
        <v>0.22666666666666671</v>
      </c>
      <c r="I86" s="2">
        <v>0.28333333333333333</v>
      </c>
      <c r="J86" s="2">
        <v>0.34666666666666668</v>
      </c>
      <c r="K86" s="2">
        <v>0.28000000000000003</v>
      </c>
      <c r="L86" s="2">
        <v>0.32333333333333331</v>
      </c>
      <c r="M86" s="2">
        <v>0.21</v>
      </c>
      <c r="N86" s="2">
        <v>0.26333333333333331</v>
      </c>
      <c r="O86" s="2">
        <v>0.42</v>
      </c>
      <c r="P86" s="2">
        <v>0.57333333333333336</v>
      </c>
      <c r="Q86" s="2">
        <v>0.62333333333333329</v>
      </c>
      <c r="R86" s="2">
        <v>0.56333333333333335</v>
      </c>
      <c r="S86" s="2">
        <v>0.21333333333333329</v>
      </c>
      <c r="T86" s="2">
        <v>0.15333333333333329</v>
      </c>
      <c r="U86" s="2">
        <v>0.69</v>
      </c>
      <c r="V86" s="2">
        <v>0.48</v>
      </c>
      <c r="W86" s="2">
        <v>0.32333333333333331</v>
      </c>
      <c r="X86" s="2">
        <v>0.46333333333333332</v>
      </c>
    </row>
    <row r="87" spans="1:24" outlineLevel="1" x14ac:dyDescent="0.25">
      <c r="A87" s="7" t="str">
        <f>A86&amp;" - "&amp;B86</f>
        <v>15650160 - Pathology - Anatomical</v>
      </c>
      <c r="B87" s="7"/>
      <c r="C87" s="7"/>
      <c r="D87" s="7"/>
      <c r="E87" s="7"/>
      <c r="F87" s="7"/>
      <c r="G87" s="8">
        <f>SUBTOTAL(9,G85:G86)</f>
        <v>0.44104459383753492</v>
      </c>
      <c r="H87" s="8">
        <f>SUBTOTAL(9,H85:H86)</f>
        <v>0.27666666666666673</v>
      </c>
      <c r="I87" s="8">
        <f>SUBTOTAL(9,I85:I86)</f>
        <v>0.34940476190476188</v>
      </c>
      <c r="J87" s="8">
        <f>SUBTOTAL(9,J85:J86)</f>
        <v>0.41036309523809522</v>
      </c>
      <c r="K87" s="8">
        <f>SUBTOTAL(9,K85:K86)</f>
        <v>0.35091836734693882</v>
      </c>
      <c r="L87" s="8">
        <f>SUBTOTAL(9,L85:L86)</f>
        <v>0.40241496598639453</v>
      </c>
      <c r="M87" s="8">
        <f>SUBTOTAL(9,M85:M86)</f>
        <v>0.32130952380952382</v>
      </c>
      <c r="N87" s="8">
        <f>SUBTOTAL(9,N85:N86)</f>
        <v>0.31650793650793646</v>
      </c>
      <c r="O87" s="8">
        <f>SUBTOTAL(9,O85:O86)</f>
        <v>0.51404761904761909</v>
      </c>
      <c r="P87" s="8">
        <f>SUBTOTAL(9,P85:P86)</f>
        <v>0.60649659863945582</v>
      </c>
      <c r="Q87" s="8">
        <f>SUBTOTAL(9,Q85:Q86)</f>
        <v>0.70241496598639452</v>
      </c>
      <c r="R87" s="8">
        <f>SUBTOTAL(9,R85:R86)</f>
        <v>0.68238095238095231</v>
      </c>
      <c r="S87" s="8">
        <f>SUBTOTAL(9,S85:S86)</f>
        <v>0.24343537414965982</v>
      </c>
      <c r="T87" s="8">
        <f>SUBTOTAL(9,T85:T86)</f>
        <v>0.20741496598639453</v>
      </c>
      <c r="U87" s="8">
        <f>SUBTOTAL(9,U85:U86)</f>
        <v>0.69</v>
      </c>
      <c r="V87" s="8">
        <f>SUBTOTAL(9,V85:V86)</f>
        <v>0.48</v>
      </c>
      <c r="W87" s="8">
        <f>SUBTOTAL(9,W85:W86)</f>
        <v>0.32333333333333331</v>
      </c>
      <c r="X87" s="8">
        <f>SUBTOTAL(9,X85:X86)</f>
        <v>0.46690476190476188</v>
      </c>
    </row>
    <row r="88" spans="1:24" outlineLevel="2" x14ac:dyDescent="0.25">
      <c r="A88" s="1">
        <v>15650170</v>
      </c>
      <c r="B88" s="1" t="s">
        <v>94</v>
      </c>
      <c r="C88" s="1">
        <v>108267</v>
      </c>
      <c r="D88" s="1" t="s">
        <v>185</v>
      </c>
      <c r="E88" s="1">
        <v>427503</v>
      </c>
      <c r="F88" s="1" t="s">
        <v>186</v>
      </c>
      <c r="G88" s="4">
        <v>0.37428571428571428</v>
      </c>
      <c r="H88" s="2">
        <v>0.59642857142857142</v>
      </c>
      <c r="I88" s="2">
        <v>0.37857142857142861</v>
      </c>
      <c r="J88" s="2">
        <v>0.56428571428571428</v>
      </c>
      <c r="K88" s="2">
        <v>0.69285714285714284</v>
      </c>
      <c r="L88" s="2">
        <v>0.2</v>
      </c>
      <c r="M88" s="2">
        <v>0.4642857142857143</v>
      </c>
      <c r="N88" s="2">
        <v>0.29642857142857137</v>
      </c>
      <c r="O88" s="2">
        <v>0.39285714285714279</v>
      </c>
      <c r="P88" s="2">
        <v>0.1</v>
      </c>
      <c r="Q88" s="2">
        <v>0.49285714285714288</v>
      </c>
      <c r="R88" s="2">
        <v>0.48814285714285721</v>
      </c>
      <c r="S88" s="2">
        <v>0.51428571428571423</v>
      </c>
      <c r="T88" s="2">
        <v>0.1142857142857143</v>
      </c>
      <c r="U88" s="2">
        <v>0.18571428571428569</v>
      </c>
      <c r="V88" s="2">
        <v>0.32471428571428568</v>
      </c>
      <c r="W88" s="2">
        <v>0.19285714285714289</v>
      </c>
      <c r="X88" s="2">
        <v>0.36428571428571432</v>
      </c>
    </row>
    <row r="89" spans="1:24" outlineLevel="2" x14ac:dyDescent="0.25">
      <c r="A89" s="1">
        <v>15650170</v>
      </c>
      <c r="B89" s="1" t="s">
        <v>94</v>
      </c>
      <c r="C89" s="1">
        <v>108324</v>
      </c>
      <c r="D89" s="1" t="s">
        <v>95</v>
      </c>
      <c r="E89" s="1">
        <v>449897</v>
      </c>
      <c r="F89" s="1" t="s">
        <v>96</v>
      </c>
      <c r="G89" s="4">
        <v>0.41764705882352943</v>
      </c>
      <c r="H89" s="2">
        <v>0.21071428571428569</v>
      </c>
      <c r="I89" s="2">
        <v>0.32142857142857151</v>
      </c>
      <c r="J89" s="2">
        <v>0.1</v>
      </c>
      <c r="K89" s="2">
        <v>0.48214285714285721</v>
      </c>
      <c r="L89" s="2">
        <v>1.246428571428571</v>
      </c>
      <c r="M89" s="2">
        <v>0</v>
      </c>
      <c r="N89" s="2">
        <v>0.29642857142857137</v>
      </c>
      <c r="O89" s="2">
        <v>0.52500000000000002</v>
      </c>
      <c r="P89" s="2">
        <v>0.50714285714285712</v>
      </c>
      <c r="Q89" s="2">
        <v>0.42142857142857137</v>
      </c>
      <c r="R89" s="2">
        <v>0.3</v>
      </c>
      <c r="S89" s="2">
        <v>0.61428571428571432</v>
      </c>
      <c r="T89" s="2">
        <v>0.6071428571428571</v>
      </c>
      <c r="U89" s="2">
        <v>0.37857142857142861</v>
      </c>
      <c r="V89" s="2">
        <v>0.60357142857142854</v>
      </c>
      <c r="W89" s="2">
        <v>0.38571428571428568</v>
      </c>
      <c r="X89" s="2">
        <v>0.1</v>
      </c>
    </row>
    <row r="90" spans="1:24" outlineLevel="2" x14ac:dyDescent="0.25">
      <c r="A90" s="1">
        <v>15650170</v>
      </c>
      <c r="B90" s="1" t="s">
        <v>94</v>
      </c>
      <c r="C90" s="1">
        <v>108324</v>
      </c>
      <c r="D90" s="1" t="s">
        <v>95</v>
      </c>
      <c r="E90" s="1">
        <v>159676</v>
      </c>
      <c r="F90" s="1" t="s">
        <v>103</v>
      </c>
      <c r="G90" s="4">
        <v>0.45945378151260502</v>
      </c>
      <c r="H90" s="2">
        <v>0.25357142857142861</v>
      </c>
      <c r="I90" s="2">
        <v>0.31071428571428572</v>
      </c>
      <c r="J90" s="2">
        <v>0.1</v>
      </c>
      <c r="K90" s="2">
        <v>0.27857142857142858</v>
      </c>
      <c r="L90" s="2">
        <v>0.51314285714285712</v>
      </c>
      <c r="M90" s="2">
        <v>0.42499999999999999</v>
      </c>
      <c r="N90" s="2">
        <v>0.1785714285714286</v>
      </c>
      <c r="O90" s="2">
        <v>0.22142857142857139</v>
      </c>
      <c r="P90" s="2">
        <v>0.2392857142857143</v>
      </c>
      <c r="Q90" s="2">
        <v>0.86785714285714288</v>
      </c>
      <c r="R90" s="2">
        <v>0.56071428571428572</v>
      </c>
      <c r="S90" s="2">
        <v>0.73685714285714288</v>
      </c>
      <c r="T90" s="2">
        <v>0.70714285714285718</v>
      </c>
      <c r="U90" s="2">
        <v>0.48571428571428571</v>
      </c>
      <c r="V90" s="2">
        <v>0.72499999999999998</v>
      </c>
      <c r="W90" s="2">
        <v>0.65357142857142858</v>
      </c>
      <c r="X90" s="2">
        <v>0.5535714285714286</v>
      </c>
    </row>
    <row r="91" spans="1:24" outlineLevel="2" x14ac:dyDescent="0.25">
      <c r="A91" s="1">
        <v>15650170</v>
      </c>
      <c r="B91" s="1" t="s">
        <v>94</v>
      </c>
      <c r="C91" s="1">
        <v>108324</v>
      </c>
      <c r="D91" s="1" t="s">
        <v>95</v>
      </c>
      <c r="E91" s="1">
        <v>219851</v>
      </c>
      <c r="F91" s="1" t="s">
        <v>124</v>
      </c>
      <c r="G91" s="4">
        <v>0.46898319327731097</v>
      </c>
      <c r="H91" s="2">
        <v>0.63185714285714278</v>
      </c>
      <c r="I91" s="2">
        <v>0.70357142857142863</v>
      </c>
      <c r="J91" s="2">
        <v>0.21785714285714289</v>
      </c>
      <c r="K91" s="2">
        <v>0.5535714285714286</v>
      </c>
      <c r="L91" s="2">
        <v>0.18214285714285711</v>
      </c>
      <c r="M91" s="2">
        <v>0.27471428571428569</v>
      </c>
      <c r="N91" s="2">
        <v>0.44285714285714278</v>
      </c>
      <c r="O91" s="2">
        <v>0.56428571428571428</v>
      </c>
      <c r="P91" s="2">
        <v>0.6428571428571429</v>
      </c>
      <c r="Q91" s="2">
        <v>0.47857142857142859</v>
      </c>
      <c r="R91" s="2">
        <v>0.4107142857142857</v>
      </c>
      <c r="S91" s="2">
        <v>0.22828571428571429</v>
      </c>
      <c r="T91" s="2">
        <v>0.68571428571428572</v>
      </c>
      <c r="U91" s="2">
        <v>0.30599999999999999</v>
      </c>
      <c r="V91" s="2">
        <v>0.30714285714285722</v>
      </c>
      <c r="W91" s="2">
        <v>0.7282857142857142</v>
      </c>
      <c r="X91" s="2">
        <v>0.61428571428571432</v>
      </c>
    </row>
    <row r="92" spans="1:24" outlineLevel="2" x14ac:dyDescent="0.25">
      <c r="A92" s="1">
        <v>15650170</v>
      </c>
      <c r="B92" s="1" t="s">
        <v>94</v>
      </c>
      <c r="C92" s="1">
        <v>108324</v>
      </c>
      <c r="D92" s="1" t="s">
        <v>95</v>
      </c>
      <c r="E92" s="1">
        <v>226830</v>
      </c>
      <c r="F92" s="1" t="s">
        <v>168</v>
      </c>
      <c r="G92" s="4">
        <v>0.40315126050420169</v>
      </c>
      <c r="H92" s="2">
        <v>0</v>
      </c>
      <c r="I92" s="2">
        <v>0</v>
      </c>
      <c r="J92" s="2">
        <v>0.38214285714285712</v>
      </c>
      <c r="K92" s="2">
        <v>0.61071428571428577</v>
      </c>
      <c r="L92" s="2">
        <v>0.7678571428571429</v>
      </c>
      <c r="M92" s="2">
        <v>0.59285714285714286</v>
      </c>
      <c r="N92" s="2">
        <v>0.16785714285714279</v>
      </c>
      <c r="O92" s="2">
        <v>0.3</v>
      </c>
      <c r="P92" s="2">
        <v>0.82499999999999996</v>
      </c>
      <c r="Q92" s="2">
        <v>0.41785714285714293</v>
      </c>
      <c r="R92" s="2">
        <v>0.22857142857142859</v>
      </c>
      <c r="S92" s="2">
        <v>0.36428571428571432</v>
      </c>
      <c r="T92" s="2">
        <v>0.50714285714285712</v>
      </c>
      <c r="U92" s="2">
        <v>0.56071428571428572</v>
      </c>
      <c r="V92" s="2">
        <v>0.30714285714285722</v>
      </c>
      <c r="W92" s="2">
        <v>0.5</v>
      </c>
      <c r="X92" s="2">
        <v>0.32142857142857151</v>
      </c>
    </row>
    <row r="93" spans="1:24" outlineLevel="2" x14ac:dyDescent="0.25">
      <c r="A93" s="1">
        <v>15650170</v>
      </c>
      <c r="B93" s="1" t="s">
        <v>94</v>
      </c>
      <c r="C93" s="1">
        <v>108324</v>
      </c>
      <c r="D93" s="1" t="s">
        <v>95</v>
      </c>
      <c r="E93" s="1">
        <v>598613</v>
      </c>
      <c r="F93" s="1" t="s">
        <v>253</v>
      </c>
      <c r="G93" s="4">
        <v>0.35224761904761909</v>
      </c>
      <c r="H93" s="2">
        <v>0</v>
      </c>
      <c r="I93" s="2">
        <v>0</v>
      </c>
      <c r="J93" s="2">
        <v>3.5714285714285709E-3</v>
      </c>
      <c r="K93" s="2">
        <v>0</v>
      </c>
      <c r="L93" s="2">
        <v>0</v>
      </c>
      <c r="M93" s="2">
        <v>0.44285714285714278</v>
      </c>
      <c r="N93" s="2">
        <v>0.59899999999999998</v>
      </c>
      <c r="O93" s="2">
        <v>0.54642857142857137</v>
      </c>
      <c r="P93" s="2">
        <v>8.2142857142857142E-2</v>
      </c>
      <c r="Q93" s="2">
        <v>0.32857142857142863</v>
      </c>
      <c r="R93" s="2">
        <v>0.62857142857142856</v>
      </c>
      <c r="S93" s="2">
        <v>0.5714285714285714</v>
      </c>
      <c r="T93" s="2">
        <v>0.83214285714285718</v>
      </c>
      <c r="U93" s="2">
        <v>0.35357142857142859</v>
      </c>
      <c r="V93" s="2">
        <v>0</v>
      </c>
      <c r="W93" s="2">
        <v>0.48471428571428571</v>
      </c>
      <c r="X93" s="2">
        <v>0.4107142857142857</v>
      </c>
    </row>
    <row r="94" spans="1:24" outlineLevel="1" x14ac:dyDescent="0.25">
      <c r="A94" s="7" t="str">
        <f>A93&amp;" - "&amp;B93</f>
        <v>15650170 - Pathology - Clinical</v>
      </c>
      <c r="B94" s="7"/>
      <c r="C94" s="7"/>
      <c r="D94" s="7"/>
      <c r="E94" s="7"/>
      <c r="F94" s="7"/>
      <c r="G94" s="8">
        <f>SUBTOTAL(9,G88:G93)</f>
        <v>2.4757686274509805</v>
      </c>
      <c r="H94" s="8">
        <f>SUBTOTAL(9,H88:H93)</f>
        <v>1.6925714285714286</v>
      </c>
      <c r="I94" s="8">
        <f>SUBTOTAL(9,I88:I93)</f>
        <v>1.7142857142857144</v>
      </c>
      <c r="J94" s="8">
        <f>SUBTOTAL(9,J88:J93)</f>
        <v>1.3678571428571429</v>
      </c>
      <c r="K94" s="8">
        <f>SUBTOTAL(9,K88:K93)</f>
        <v>2.6178571428571429</v>
      </c>
      <c r="L94" s="8">
        <f>SUBTOTAL(9,L88:L93)</f>
        <v>2.9095714285714278</v>
      </c>
      <c r="M94" s="8">
        <f>SUBTOTAL(9,M88:M93)</f>
        <v>2.1997142857142853</v>
      </c>
      <c r="N94" s="8">
        <f>SUBTOTAL(9,N88:N93)</f>
        <v>1.9811428571428569</v>
      </c>
      <c r="O94" s="8">
        <f>SUBTOTAL(9,O88:O93)</f>
        <v>2.5499999999999998</v>
      </c>
      <c r="P94" s="8">
        <f>SUBTOTAL(9,P88:P93)</f>
        <v>2.3964285714285714</v>
      </c>
      <c r="Q94" s="8">
        <f>SUBTOTAL(9,Q88:Q93)</f>
        <v>3.0071428571428576</v>
      </c>
      <c r="R94" s="8">
        <f>SUBTOTAL(9,R88:R93)</f>
        <v>2.616714285714286</v>
      </c>
      <c r="S94" s="8">
        <f>SUBTOTAL(9,S88:S93)</f>
        <v>3.0294285714285714</v>
      </c>
      <c r="T94" s="8">
        <f>SUBTOTAL(9,T88:T93)</f>
        <v>3.4535714285714287</v>
      </c>
      <c r="U94" s="8">
        <f>SUBTOTAL(9,U88:U93)</f>
        <v>2.2702857142857145</v>
      </c>
      <c r="V94" s="8">
        <f>SUBTOTAL(9,V88:V93)</f>
        <v>2.2675714285714283</v>
      </c>
      <c r="W94" s="8">
        <f>SUBTOTAL(9,W88:W93)</f>
        <v>2.9451428571428573</v>
      </c>
      <c r="X94" s="8">
        <f>SUBTOTAL(9,X88:X93)</f>
        <v>2.3642857142857143</v>
      </c>
    </row>
    <row r="95" spans="1:24" outlineLevel="2" x14ac:dyDescent="0.25">
      <c r="A95" s="1">
        <v>15651010</v>
      </c>
      <c r="B95" s="1" t="s">
        <v>237</v>
      </c>
      <c r="C95" s="1">
        <v>108102</v>
      </c>
      <c r="D95" s="1" t="s">
        <v>48</v>
      </c>
      <c r="E95" s="1">
        <v>156273</v>
      </c>
      <c r="F95" s="1" t="s">
        <v>238</v>
      </c>
      <c r="G95" s="4">
        <v>0.19196078431372551</v>
      </c>
      <c r="H95" s="2">
        <v>0.19</v>
      </c>
      <c r="I95" s="2">
        <v>8.4444444444444447E-2</v>
      </c>
      <c r="J95" s="2">
        <v>0.12666666666666671</v>
      </c>
      <c r="K95" s="2">
        <v>0</v>
      </c>
      <c r="L95" s="2">
        <v>0.26</v>
      </c>
      <c r="M95" s="2">
        <v>0.25833333333333341</v>
      </c>
      <c r="N95" s="2">
        <v>0.1866666666666667</v>
      </c>
      <c r="O95" s="2">
        <v>0.12666666666666671</v>
      </c>
      <c r="P95" s="2">
        <v>0.1183333333333333</v>
      </c>
      <c r="Q95" s="2">
        <v>0.18333333333333329</v>
      </c>
      <c r="R95" s="2">
        <v>0.19166666666666671</v>
      </c>
      <c r="S95" s="2">
        <v>0.40666666666666668</v>
      </c>
      <c r="T95" s="2">
        <v>0.42333333333333328</v>
      </c>
      <c r="U95" s="2">
        <v>0.31333333333333341</v>
      </c>
      <c r="V95" s="2">
        <v>0.2011111111111111</v>
      </c>
      <c r="W95" s="2">
        <v>0.2183333333333333</v>
      </c>
      <c r="X95" s="2">
        <v>0.2466666666666667</v>
      </c>
    </row>
    <row r="96" spans="1:24" outlineLevel="1" x14ac:dyDescent="0.25">
      <c r="A96" s="7" t="str">
        <f>A95&amp;" - "&amp;B95</f>
        <v>15651010 - POS - Operating Room</v>
      </c>
      <c r="B96" s="7"/>
      <c r="C96" s="7"/>
      <c r="D96" s="7"/>
      <c r="E96" s="7"/>
      <c r="F96" s="7"/>
      <c r="G96" s="8">
        <f>SUBTOTAL(9,G95:G95)</f>
        <v>0.19196078431372551</v>
      </c>
      <c r="H96" s="8">
        <f>SUBTOTAL(9,H95:H95)</f>
        <v>0.19</v>
      </c>
      <c r="I96" s="8">
        <f>SUBTOTAL(9,I95:I95)</f>
        <v>8.4444444444444447E-2</v>
      </c>
      <c r="J96" s="8">
        <f>SUBTOTAL(9,J95:J95)</f>
        <v>0.12666666666666671</v>
      </c>
      <c r="K96" s="8">
        <f>SUBTOTAL(9,K95:K95)</f>
        <v>0</v>
      </c>
      <c r="L96" s="8">
        <f>SUBTOTAL(9,L95:L95)</f>
        <v>0.26</v>
      </c>
      <c r="M96" s="8">
        <f>SUBTOTAL(9,M95:M95)</f>
        <v>0.25833333333333341</v>
      </c>
      <c r="N96" s="8">
        <f>SUBTOTAL(9,N95:N95)</f>
        <v>0.1866666666666667</v>
      </c>
      <c r="O96" s="8">
        <f>SUBTOTAL(9,O95:O95)</f>
        <v>0.12666666666666671</v>
      </c>
      <c r="P96" s="8">
        <f>SUBTOTAL(9,P95:P95)</f>
        <v>0.1183333333333333</v>
      </c>
      <c r="Q96" s="8">
        <f>SUBTOTAL(9,Q95:Q95)</f>
        <v>0.18333333333333329</v>
      </c>
      <c r="R96" s="8">
        <f>SUBTOTAL(9,R95:R95)</f>
        <v>0.19166666666666671</v>
      </c>
      <c r="S96" s="8">
        <f>SUBTOTAL(9,S95:S95)</f>
        <v>0.40666666666666668</v>
      </c>
      <c r="T96" s="8">
        <f>SUBTOTAL(9,T95:T95)</f>
        <v>0.42333333333333328</v>
      </c>
      <c r="U96" s="8">
        <f>SUBTOTAL(9,U95:U95)</f>
        <v>0.31333333333333341</v>
      </c>
      <c r="V96" s="8">
        <f>SUBTOTAL(9,V95:V95)</f>
        <v>0.2011111111111111</v>
      </c>
      <c r="W96" s="8">
        <f>SUBTOTAL(9,W95:W95)</f>
        <v>0.2183333333333333</v>
      </c>
      <c r="X96" s="8">
        <f>SUBTOTAL(9,X95:X95)</f>
        <v>0.2466666666666667</v>
      </c>
    </row>
    <row r="97" spans="1:24" outlineLevel="2" x14ac:dyDescent="0.25">
      <c r="A97" s="1">
        <v>15651020</v>
      </c>
      <c r="B97" s="1" t="s">
        <v>50</v>
      </c>
      <c r="C97" s="1">
        <v>108102</v>
      </c>
      <c r="D97" s="1" t="s">
        <v>48</v>
      </c>
      <c r="E97" s="1">
        <v>156960</v>
      </c>
      <c r="F97" s="1" t="s">
        <v>51</v>
      </c>
      <c r="G97" s="4">
        <v>0.34208333333333341</v>
      </c>
      <c r="H97" s="2">
        <v>0.18333333333333329</v>
      </c>
      <c r="I97" s="2">
        <v>0.35666666666666669</v>
      </c>
      <c r="J97" s="2">
        <v>0.35</v>
      </c>
      <c r="K97" s="2">
        <v>0.46333333333333332</v>
      </c>
      <c r="L97" s="2">
        <v>0.37166666666666659</v>
      </c>
      <c r="M97" s="2">
        <v>0.36666666666666659</v>
      </c>
      <c r="N97" s="2">
        <v>0.32333333333333331</v>
      </c>
      <c r="O97" s="2">
        <v>0.46333333333333332</v>
      </c>
      <c r="P97" s="2">
        <v>0.39</v>
      </c>
      <c r="Q97" s="2">
        <v>0.1933333333333333</v>
      </c>
      <c r="R97" s="2">
        <v>0.34</v>
      </c>
      <c r="S97" s="2">
        <v>0.37833333333333341</v>
      </c>
      <c r="T97" s="2">
        <v>0.38666666666666671</v>
      </c>
      <c r="U97" s="2">
        <v>0.33666666666666673</v>
      </c>
      <c r="V97" s="2">
        <v>0.33166666666666672</v>
      </c>
      <c r="W97" s="2">
        <v>0.21333333333333329</v>
      </c>
      <c r="X97" s="2">
        <v>0.26333333333333331</v>
      </c>
    </row>
    <row r="98" spans="1:24" outlineLevel="2" x14ac:dyDescent="0.25">
      <c r="A98" s="1">
        <v>15651020</v>
      </c>
      <c r="B98" s="1" t="s">
        <v>50</v>
      </c>
      <c r="C98" s="1">
        <v>108102</v>
      </c>
      <c r="D98" s="1" t="s">
        <v>48</v>
      </c>
      <c r="E98" s="1">
        <v>424067</v>
      </c>
      <c r="F98" s="1" t="s">
        <v>197</v>
      </c>
      <c r="G98" s="4">
        <v>0.28291666666666659</v>
      </c>
      <c r="H98" s="2">
        <v>0.42</v>
      </c>
      <c r="I98" s="2">
        <v>0.25833333333333341</v>
      </c>
      <c r="J98" s="2">
        <v>0.51</v>
      </c>
      <c r="K98" s="2">
        <v>0.76333333333333331</v>
      </c>
      <c r="L98" s="2">
        <v>0</v>
      </c>
      <c r="M98" s="2">
        <v>0.61</v>
      </c>
      <c r="N98" s="2">
        <v>0.17</v>
      </c>
      <c r="O98" s="2">
        <v>0.1566666666666667</v>
      </c>
      <c r="P98" s="2">
        <v>0.55000000000000004</v>
      </c>
      <c r="Q98" s="2">
        <v>0.3</v>
      </c>
      <c r="R98" s="2">
        <v>0.20666666666666669</v>
      </c>
      <c r="S98" s="2">
        <v>6.6666666666666671E-3</v>
      </c>
      <c r="T98" s="2">
        <v>0.08</v>
      </c>
      <c r="U98" s="2">
        <v>0</v>
      </c>
      <c r="V98" s="2">
        <v>0</v>
      </c>
      <c r="W98" s="2">
        <v>0</v>
      </c>
      <c r="X98" s="2">
        <v>0</v>
      </c>
    </row>
    <row r="99" spans="1:24" outlineLevel="2" x14ac:dyDescent="0.25">
      <c r="A99" s="1">
        <v>15651020</v>
      </c>
      <c r="B99" s="1" t="s">
        <v>50</v>
      </c>
      <c r="C99" s="1">
        <v>108102</v>
      </c>
      <c r="D99" s="1" t="s">
        <v>48</v>
      </c>
      <c r="E99" s="1">
        <v>158558</v>
      </c>
      <c r="F99" s="1" t="s">
        <v>243</v>
      </c>
      <c r="G99" s="4">
        <v>0.33481481481481479</v>
      </c>
      <c r="H99" s="2">
        <v>0.22</v>
      </c>
      <c r="I99" s="2">
        <v>0.41666666666666669</v>
      </c>
      <c r="J99" s="2">
        <v>0.15333333333333329</v>
      </c>
      <c r="K99" s="2">
        <v>0.38</v>
      </c>
      <c r="L99" s="2">
        <v>0.60666666666666669</v>
      </c>
      <c r="M99" s="2">
        <v>0.43</v>
      </c>
      <c r="N99" s="2">
        <v>0.15333333333333329</v>
      </c>
      <c r="O99" s="2">
        <v>0.26</v>
      </c>
      <c r="P99" s="2">
        <v>0.30666666666666659</v>
      </c>
      <c r="Q99" s="2">
        <v>0.36666666666666659</v>
      </c>
      <c r="R99" s="2">
        <v>0.58666666666666667</v>
      </c>
      <c r="S99" s="2">
        <v>0.36</v>
      </c>
      <c r="T99" s="2">
        <v>0.20666666666666669</v>
      </c>
      <c r="U99" s="2">
        <v>0.90666666666666662</v>
      </c>
      <c r="V99" s="2">
        <v>0.26</v>
      </c>
      <c r="W99" s="2">
        <v>0</v>
      </c>
      <c r="X99" s="2">
        <v>0.20666666666666669</v>
      </c>
    </row>
    <row r="100" spans="1:24" outlineLevel="1" x14ac:dyDescent="0.25">
      <c r="A100" s="7" t="str">
        <f>A99&amp;" - "&amp;B99</f>
        <v>15651020 - POS - Recovery Room</v>
      </c>
      <c r="B100" s="7"/>
      <c r="C100" s="7"/>
      <c r="D100" s="7"/>
      <c r="E100" s="7"/>
      <c r="F100" s="7"/>
      <c r="G100" s="8">
        <f>SUBTOTAL(9,G97:G99)</f>
        <v>0.95981481481481479</v>
      </c>
      <c r="H100" s="8">
        <f>SUBTOTAL(9,H97:H99)</f>
        <v>0.82333333333333325</v>
      </c>
      <c r="I100" s="8">
        <f>SUBTOTAL(9,I97:I99)</f>
        <v>1.0316666666666667</v>
      </c>
      <c r="J100" s="8">
        <f>SUBTOTAL(9,J97:J99)</f>
        <v>1.0133333333333332</v>
      </c>
      <c r="K100" s="8">
        <f>SUBTOTAL(9,K97:K99)</f>
        <v>1.6066666666666665</v>
      </c>
      <c r="L100" s="8">
        <f>SUBTOTAL(9,L97:L99)</f>
        <v>0.97833333333333328</v>
      </c>
      <c r="M100" s="8">
        <f>SUBTOTAL(9,M97:M99)</f>
        <v>1.4066666666666665</v>
      </c>
      <c r="N100" s="8">
        <f>SUBTOTAL(9,N97:N99)</f>
        <v>0.64666666666666661</v>
      </c>
      <c r="O100" s="8">
        <f>SUBTOTAL(9,O97:O99)</f>
        <v>0.88</v>
      </c>
      <c r="P100" s="8">
        <f>SUBTOTAL(9,P97:P99)</f>
        <v>1.2466666666666666</v>
      </c>
      <c r="Q100" s="8">
        <f>SUBTOTAL(9,Q97:Q99)</f>
        <v>0.85999999999999988</v>
      </c>
      <c r="R100" s="8">
        <f>SUBTOTAL(9,R97:R99)</f>
        <v>1.1333333333333333</v>
      </c>
      <c r="S100" s="8">
        <f>SUBTOTAL(9,S97:S99)</f>
        <v>0.74500000000000011</v>
      </c>
      <c r="T100" s="8">
        <f>SUBTOTAL(9,T97:T99)</f>
        <v>0.67333333333333345</v>
      </c>
      <c r="U100" s="8">
        <f>SUBTOTAL(9,U97:U99)</f>
        <v>1.2433333333333334</v>
      </c>
      <c r="V100" s="8">
        <f>SUBTOTAL(9,V97:V99)</f>
        <v>0.59166666666666679</v>
      </c>
      <c r="W100" s="8">
        <f>SUBTOTAL(9,W97:W99)</f>
        <v>0.21333333333333329</v>
      </c>
      <c r="X100" s="8">
        <f>SUBTOTAL(9,X97:X99)</f>
        <v>0.47</v>
      </c>
    </row>
    <row r="101" spans="1:24" outlineLevel="2" x14ac:dyDescent="0.25">
      <c r="A101" s="1">
        <v>15651050</v>
      </c>
      <c r="B101" s="1" t="s">
        <v>27</v>
      </c>
      <c r="C101" s="1">
        <v>108131</v>
      </c>
      <c r="D101" s="1" t="s">
        <v>28</v>
      </c>
      <c r="E101" s="1">
        <v>610465</v>
      </c>
      <c r="F101" s="1" t="s">
        <v>29</v>
      </c>
      <c r="G101" s="4">
        <v>0.36666666666666659</v>
      </c>
      <c r="H101" s="2">
        <v>0</v>
      </c>
      <c r="I101" s="2">
        <v>0</v>
      </c>
      <c r="J101" s="2">
        <v>7.6666666666666661E-2</v>
      </c>
      <c r="K101" s="2">
        <v>9.6666666666666665E-2</v>
      </c>
      <c r="L101" s="2">
        <v>0.51666666666666672</v>
      </c>
      <c r="M101" s="2">
        <v>0.44666666666666671</v>
      </c>
      <c r="N101" s="2">
        <v>0.43333333333333329</v>
      </c>
      <c r="O101" s="2">
        <v>0.18333333333333329</v>
      </c>
      <c r="P101" s="2">
        <v>0.62</v>
      </c>
      <c r="Q101" s="2">
        <v>0.45</v>
      </c>
      <c r="R101" s="2">
        <v>0.28000000000000003</v>
      </c>
      <c r="S101" s="2">
        <v>0.77666666666666662</v>
      </c>
      <c r="T101" s="2">
        <v>0.34666666666666668</v>
      </c>
      <c r="U101" s="2">
        <v>0.60666666666666669</v>
      </c>
      <c r="V101" s="2">
        <v>0.43333333333333329</v>
      </c>
      <c r="W101" s="2">
        <v>0.52</v>
      </c>
      <c r="X101" s="2">
        <v>0.44666666666666671</v>
      </c>
    </row>
    <row r="102" spans="1:24" outlineLevel="2" x14ac:dyDescent="0.25">
      <c r="A102" s="1">
        <v>15651050</v>
      </c>
      <c r="B102" s="1" t="s">
        <v>27</v>
      </c>
      <c r="C102" s="1">
        <v>108131</v>
      </c>
      <c r="D102" s="1" t="s">
        <v>28</v>
      </c>
      <c r="E102" s="1">
        <v>214905</v>
      </c>
      <c r="F102" s="1" t="s">
        <v>146</v>
      </c>
      <c r="G102" s="4">
        <v>0.82313725490196077</v>
      </c>
      <c r="H102" s="2">
        <v>0.43666666666666659</v>
      </c>
      <c r="I102" s="2">
        <v>0.77666666666666662</v>
      </c>
      <c r="J102" s="2">
        <v>0.87</v>
      </c>
      <c r="K102" s="2">
        <v>0.45</v>
      </c>
      <c r="L102" s="2">
        <v>1.006666666666667</v>
      </c>
      <c r="M102" s="2">
        <v>0.57999999999999996</v>
      </c>
      <c r="N102" s="2">
        <v>0.91333333333333333</v>
      </c>
      <c r="O102" s="2">
        <v>0.80333333333333334</v>
      </c>
      <c r="P102" s="2">
        <v>0.7</v>
      </c>
      <c r="Q102" s="2">
        <v>0.69666666666666666</v>
      </c>
      <c r="R102" s="2">
        <v>1.093333333333333</v>
      </c>
      <c r="S102" s="2">
        <v>1.0866666666666669</v>
      </c>
      <c r="T102" s="2">
        <v>1.1733333333333329</v>
      </c>
      <c r="U102" s="2">
        <v>1.28</v>
      </c>
      <c r="V102" s="2">
        <v>1.273333333333333</v>
      </c>
      <c r="W102" s="2">
        <v>0.62666666666666671</v>
      </c>
      <c r="X102" s="2">
        <v>0.22666666666666671</v>
      </c>
    </row>
    <row r="103" spans="1:24" outlineLevel="2" x14ac:dyDescent="0.25">
      <c r="A103" s="1">
        <v>15651050</v>
      </c>
      <c r="B103" s="1" t="s">
        <v>27</v>
      </c>
      <c r="C103" s="1">
        <v>108131</v>
      </c>
      <c r="D103" s="1" t="s">
        <v>28</v>
      </c>
      <c r="E103" s="1">
        <v>615417</v>
      </c>
      <c r="F103" s="1" t="s">
        <v>201</v>
      </c>
      <c r="G103" s="4">
        <v>0.43187500000000001</v>
      </c>
      <c r="H103" s="2">
        <v>0</v>
      </c>
      <c r="I103" s="2">
        <v>0</v>
      </c>
      <c r="J103" s="2">
        <v>0.13666666666666669</v>
      </c>
      <c r="K103" s="2">
        <v>0.66666666666666663</v>
      </c>
      <c r="L103" s="2">
        <v>0.67333333333333334</v>
      </c>
      <c r="M103" s="2">
        <v>0.21333333333333329</v>
      </c>
      <c r="N103" s="2">
        <v>0.41666666666666669</v>
      </c>
      <c r="O103" s="2">
        <v>0.2</v>
      </c>
      <c r="P103" s="2">
        <v>5.3333333333333337E-2</v>
      </c>
      <c r="Q103" s="2">
        <v>0.1633333333333333</v>
      </c>
      <c r="R103" s="2">
        <v>0.66333333333333333</v>
      </c>
      <c r="S103" s="2">
        <v>1.1000000000000001</v>
      </c>
      <c r="T103" s="2">
        <v>1.0166666666666671</v>
      </c>
      <c r="U103" s="2">
        <v>1.1533333333333331</v>
      </c>
      <c r="V103" s="2">
        <v>0.45333333333333331</v>
      </c>
      <c r="W103" s="2">
        <v>0</v>
      </c>
      <c r="X103" s="2">
        <v>0</v>
      </c>
    </row>
    <row r="104" spans="1:24" outlineLevel="2" x14ac:dyDescent="0.25">
      <c r="A104" s="1">
        <v>15651050</v>
      </c>
      <c r="B104" s="1" t="s">
        <v>27</v>
      </c>
      <c r="C104" s="1">
        <v>108131</v>
      </c>
      <c r="D104" s="1" t="s">
        <v>28</v>
      </c>
      <c r="E104" s="1">
        <v>110832</v>
      </c>
      <c r="F104" s="1" t="s">
        <v>208</v>
      </c>
      <c r="G104" s="4">
        <v>0.51431372549019605</v>
      </c>
      <c r="H104" s="2">
        <v>0.31</v>
      </c>
      <c r="I104" s="2">
        <v>0.70333333333333337</v>
      </c>
      <c r="J104" s="2">
        <v>0.36333333333333329</v>
      </c>
      <c r="K104" s="2">
        <v>0.55000000000000004</v>
      </c>
      <c r="L104" s="2">
        <v>0.24</v>
      </c>
      <c r="M104" s="2">
        <v>0.33</v>
      </c>
      <c r="N104" s="2">
        <v>0.33</v>
      </c>
      <c r="O104" s="2">
        <v>0.74</v>
      </c>
      <c r="P104" s="2">
        <v>0.44</v>
      </c>
      <c r="Q104" s="2">
        <v>0</v>
      </c>
      <c r="R104" s="2">
        <v>0.67666666666666664</v>
      </c>
      <c r="S104" s="2">
        <v>0.80333333333333334</v>
      </c>
      <c r="T104" s="2">
        <v>0.69666666666666666</v>
      </c>
      <c r="U104" s="2">
        <v>0.82666666666666666</v>
      </c>
      <c r="V104" s="2">
        <v>0.73666666666666669</v>
      </c>
      <c r="W104" s="2">
        <v>0.32</v>
      </c>
      <c r="X104" s="2">
        <v>0.67666666666666664</v>
      </c>
    </row>
    <row r="105" spans="1:24" outlineLevel="2" x14ac:dyDescent="0.25">
      <c r="A105" s="1">
        <v>15651050</v>
      </c>
      <c r="B105" s="1" t="s">
        <v>27</v>
      </c>
      <c r="C105" s="1">
        <v>108613</v>
      </c>
      <c r="D105" s="1" t="s">
        <v>116</v>
      </c>
      <c r="E105" s="1">
        <v>160057</v>
      </c>
      <c r="F105" s="1" t="s">
        <v>117</v>
      </c>
      <c r="G105" s="4">
        <v>0.64823529411764702</v>
      </c>
      <c r="H105" s="2">
        <v>0.41333333333333327</v>
      </c>
      <c r="I105" s="2">
        <v>0.97333333333333338</v>
      </c>
      <c r="J105" s="2">
        <v>0.42</v>
      </c>
      <c r="K105" s="2">
        <v>0.92</v>
      </c>
      <c r="L105" s="2">
        <v>0.98666666666666669</v>
      </c>
      <c r="M105" s="2">
        <v>0.19</v>
      </c>
      <c r="N105" s="2">
        <v>0</v>
      </c>
      <c r="O105" s="2">
        <v>0.36</v>
      </c>
      <c r="P105" s="2">
        <v>0.44666666666666671</v>
      </c>
      <c r="Q105" s="2">
        <v>0.65</v>
      </c>
      <c r="R105" s="2">
        <v>0.16</v>
      </c>
      <c r="S105" s="2">
        <v>1.18</v>
      </c>
      <c r="T105" s="2">
        <v>1.52</v>
      </c>
      <c r="U105" s="2">
        <v>0.97666666666666668</v>
      </c>
      <c r="V105" s="2">
        <v>0.53666666666666663</v>
      </c>
      <c r="W105" s="2">
        <v>1.04</v>
      </c>
      <c r="X105" s="2">
        <v>0.2466666666666667</v>
      </c>
    </row>
    <row r="106" spans="1:24" outlineLevel="2" x14ac:dyDescent="0.25">
      <c r="A106" s="1">
        <v>15651050</v>
      </c>
      <c r="B106" s="1" t="s">
        <v>27</v>
      </c>
      <c r="C106" s="1">
        <v>108613</v>
      </c>
      <c r="D106" s="1" t="s">
        <v>116</v>
      </c>
      <c r="E106" s="1">
        <v>206110</v>
      </c>
      <c r="F106" s="1" t="s">
        <v>123</v>
      </c>
      <c r="G106" s="4">
        <v>0.38058823529411773</v>
      </c>
      <c r="H106" s="2">
        <v>0</v>
      </c>
      <c r="I106" s="2">
        <v>0</v>
      </c>
      <c r="J106" s="2">
        <v>0</v>
      </c>
      <c r="K106" s="2">
        <v>0.65333333333333332</v>
      </c>
      <c r="L106" s="2">
        <v>0.34</v>
      </c>
      <c r="M106" s="2">
        <v>0.45333333333333331</v>
      </c>
      <c r="N106" s="2">
        <v>0.6</v>
      </c>
      <c r="O106" s="2">
        <v>0.47</v>
      </c>
      <c r="P106" s="2">
        <v>0.60333333333333339</v>
      </c>
      <c r="Q106" s="2">
        <v>0.53</v>
      </c>
      <c r="R106" s="2">
        <v>0.66666666666666663</v>
      </c>
      <c r="S106" s="2">
        <v>0.60666666666666669</v>
      </c>
      <c r="T106" s="2">
        <v>0.26666666666666672</v>
      </c>
      <c r="U106" s="2">
        <v>0.46333333333333332</v>
      </c>
      <c r="V106" s="2">
        <v>0</v>
      </c>
      <c r="W106" s="2">
        <v>0.2</v>
      </c>
      <c r="X106" s="2">
        <v>0.6166666666666667</v>
      </c>
    </row>
    <row r="107" spans="1:24" outlineLevel="1" x14ac:dyDescent="0.25">
      <c r="A107" s="7" t="str">
        <f>A106&amp;" - "&amp;B106</f>
        <v>15651050 - POS - Central Services</v>
      </c>
      <c r="B107" s="7"/>
      <c r="C107" s="7"/>
      <c r="D107" s="7"/>
      <c r="E107" s="7"/>
      <c r="F107" s="7"/>
      <c r="G107" s="8">
        <f>SUBTOTAL(9,G101:G106)</f>
        <v>3.1648161764705884</v>
      </c>
      <c r="H107" s="8">
        <f>SUBTOTAL(9,H101:H106)</f>
        <v>1.1599999999999999</v>
      </c>
      <c r="I107" s="8">
        <f>SUBTOTAL(9,I101:I106)</f>
        <v>2.4533333333333331</v>
      </c>
      <c r="J107" s="8">
        <f>SUBTOTAL(9,J101:J106)</f>
        <v>1.8666666666666665</v>
      </c>
      <c r="K107" s="8">
        <f>SUBTOTAL(9,K101:K106)</f>
        <v>3.3366666666666669</v>
      </c>
      <c r="L107" s="8">
        <f>SUBTOTAL(9,L101:L106)</f>
        <v>3.7633333333333341</v>
      </c>
      <c r="M107" s="8">
        <f>SUBTOTAL(9,M101:M106)</f>
        <v>2.2133333333333334</v>
      </c>
      <c r="N107" s="8">
        <f>SUBTOTAL(9,N101:N106)</f>
        <v>2.6933333333333334</v>
      </c>
      <c r="O107" s="8">
        <f>SUBTOTAL(9,O101:O106)</f>
        <v>2.7566666666666668</v>
      </c>
      <c r="P107" s="8">
        <f>SUBTOTAL(9,P101:P106)</f>
        <v>2.8633333333333333</v>
      </c>
      <c r="Q107" s="8">
        <f>SUBTOTAL(9,Q101:Q106)</f>
        <v>2.4900000000000002</v>
      </c>
      <c r="R107" s="8">
        <f>SUBTOTAL(9,R101:R106)</f>
        <v>3.5399999999999996</v>
      </c>
      <c r="S107" s="8">
        <f>SUBTOTAL(9,S101:S106)</f>
        <v>5.5533333333333337</v>
      </c>
      <c r="T107" s="8">
        <f>SUBTOTAL(9,T101:T106)</f>
        <v>5.0200000000000005</v>
      </c>
      <c r="U107" s="8">
        <f>SUBTOTAL(9,U101:U106)</f>
        <v>5.3066666666666666</v>
      </c>
      <c r="V107" s="8">
        <f>SUBTOTAL(9,V101:V106)</f>
        <v>3.4333333333333331</v>
      </c>
      <c r="W107" s="8">
        <f>SUBTOTAL(9,W101:W106)</f>
        <v>2.706666666666667</v>
      </c>
      <c r="X107" s="8">
        <f>SUBTOTAL(9,X101:X106)</f>
        <v>2.2133333333333334</v>
      </c>
    </row>
    <row r="108" spans="1:24" outlineLevel="2" x14ac:dyDescent="0.25">
      <c r="A108" s="1">
        <v>15651070</v>
      </c>
      <c r="B108" s="1" t="s">
        <v>47</v>
      </c>
      <c r="C108" s="1">
        <v>108102</v>
      </c>
      <c r="D108" s="1" t="s">
        <v>48</v>
      </c>
      <c r="E108" s="1">
        <v>159797</v>
      </c>
      <c r="F108" s="1" t="s">
        <v>49</v>
      </c>
      <c r="G108" s="4">
        <v>0.32166666666666671</v>
      </c>
      <c r="H108" s="2">
        <v>7.6666666666666661E-2</v>
      </c>
      <c r="I108" s="2">
        <v>0.33500000000000002</v>
      </c>
      <c r="J108" s="2">
        <v>0.15</v>
      </c>
      <c r="K108" s="2">
        <v>0.30666666666666659</v>
      </c>
      <c r="L108" s="2">
        <v>0.21</v>
      </c>
      <c r="M108" s="2">
        <v>0.43333333333333329</v>
      </c>
      <c r="N108" s="2">
        <v>0.43333333333333329</v>
      </c>
      <c r="O108" s="2">
        <v>0.57999999999999996</v>
      </c>
      <c r="P108" s="2">
        <v>0.3</v>
      </c>
      <c r="Q108" s="2">
        <v>0.28666666666666668</v>
      </c>
      <c r="R108" s="2">
        <v>0.50666666666666671</v>
      </c>
      <c r="S108" s="2">
        <v>0.42</v>
      </c>
      <c r="T108" s="2">
        <v>0.45666666666666672</v>
      </c>
      <c r="U108" s="2">
        <v>0.43333333333333329</v>
      </c>
      <c r="V108" s="2">
        <v>0.43333333333333329</v>
      </c>
      <c r="W108" s="2">
        <v>0.45</v>
      </c>
      <c r="X108" s="2">
        <v>0</v>
      </c>
    </row>
    <row r="109" spans="1:24" outlineLevel="1" x14ac:dyDescent="0.25">
      <c r="A109" s="7" t="str">
        <f>A108&amp;" - "&amp;B108</f>
        <v>15651070 - POS - Same Day admission</v>
      </c>
      <c r="B109" s="7"/>
      <c r="C109" s="7"/>
      <c r="D109" s="7"/>
      <c r="E109" s="7"/>
      <c r="F109" s="7"/>
      <c r="G109" s="8">
        <f>SUBTOTAL(9,G108:G108)</f>
        <v>0.32166666666666671</v>
      </c>
      <c r="H109" s="8">
        <f>SUBTOTAL(9,H108:H108)</f>
        <v>7.6666666666666661E-2</v>
      </c>
      <c r="I109" s="8">
        <f>SUBTOTAL(9,I108:I108)</f>
        <v>0.33500000000000002</v>
      </c>
      <c r="J109" s="8">
        <f>SUBTOTAL(9,J108:J108)</f>
        <v>0.15</v>
      </c>
      <c r="K109" s="8">
        <f>SUBTOTAL(9,K108:K108)</f>
        <v>0.30666666666666659</v>
      </c>
      <c r="L109" s="8">
        <f>SUBTOTAL(9,L108:L108)</f>
        <v>0.21</v>
      </c>
      <c r="M109" s="8">
        <f>SUBTOTAL(9,M108:M108)</f>
        <v>0.43333333333333329</v>
      </c>
      <c r="N109" s="8">
        <f>SUBTOTAL(9,N108:N108)</f>
        <v>0.43333333333333329</v>
      </c>
      <c r="O109" s="8">
        <f>SUBTOTAL(9,O108:O108)</f>
        <v>0.57999999999999996</v>
      </c>
      <c r="P109" s="8">
        <f>SUBTOTAL(9,P108:P108)</f>
        <v>0.3</v>
      </c>
      <c r="Q109" s="8">
        <f>SUBTOTAL(9,Q108:Q108)</f>
        <v>0.28666666666666668</v>
      </c>
      <c r="R109" s="8">
        <f>SUBTOTAL(9,R108:R108)</f>
        <v>0.50666666666666671</v>
      </c>
      <c r="S109" s="8">
        <f>SUBTOTAL(9,S108:S108)</f>
        <v>0.42</v>
      </c>
      <c r="T109" s="8">
        <f>SUBTOTAL(9,T108:T108)</f>
        <v>0.45666666666666672</v>
      </c>
      <c r="U109" s="8">
        <f>SUBTOTAL(9,U108:U108)</f>
        <v>0.43333333333333329</v>
      </c>
      <c r="V109" s="8">
        <f>SUBTOTAL(9,V108:V108)</f>
        <v>0.43333333333333329</v>
      </c>
      <c r="W109" s="8">
        <f>SUBTOTAL(9,W108:W108)</f>
        <v>0.45</v>
      </c>
      <c r="X109" s="8">
        <f>SUBTOTAL(9,X108:X108)</f>
        <v>0</v>
      </c>
    </row>
    <row r="110" spans="1:24" outlineLevel="2" x14ac:dyDescent="0.25">
      <c r="A110" s="1">
        <v>15652045</v>
      </c>
      <c r="B110" s="1" t="s">
        <v>270</v>
      </c>
      <c r="C110" s="1">
        <v>903431</v>
      </c>
      <c r="D110" s="1" t="s">
        <v>271</v>
      </c>
      <c r="E110" s="1">
        <v>159918</v>
      </c>
      <c r="F110" s="1" t="s">
        <v>272</v>
      </c>
      <c r="G110" s="4">
        <v>0.41416666666666668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0.49333333333333329</v>
      </c>
      <c r="N110" s="2">
        <v>0.31666666666666671</v>
      </c>
      <c r="O110" s="2">
        <v>0.33333333333333331</v>
      </c>
      <c r="P110" s="2">
        <v>0.49333333333333329</v>
      </c>
      <c r="Q110" s="2">
        <v>0.51</v>
      </c>
      <c r="R110" s="2">
        <v>0.48666666666666669</v>
      </c>
      <c r="S110" s="2">
        <v>0.33333333333333331</v>
      </c>
      <c r="T110" s="2">
        <v>0.49666666666666659</v>
      </c>
      <c r="U110" s="2">
        <v>0.5</v>
      </c>
      <c r="V110" s="2">
        <v>0.17666666666666669</v>
      </c>
      <c r="W110" s="2">
        <v>0.5033333333333333</v>
      </c>
      <c r="X110" s="2">
        <v>0.32666666666666672</v>
      </c>
    </row>
    <row r="111" spans="1:24" outlineLevel="1" x14ac:dyDescent="0.25">
      <c r="A111" s="7" t="str">
        <f>A110&amp;" - "&amp;B110</f>
        <v>15652045 - PA Service-Interventional Card</v>
      </c>
      <c r="B111" s="7"/>
      <c r="C111" s="7"/>
      <c r="D111" s="7"/>
      <c r="E111" s="7"/>
      <c r="F111" s="7"/>
      <c r="G111" s="8">
        <f>SUBTOTAL(9,G110:G110)</f>
        <v>0.41416666666666668</v>
      </c>
      <c r="H111" s="8">
        <f>SUBTOTAL(9,H110:H110)</f>
        <v>0</v>
      </c>
      <c r="I111" s="8">
        <f>SUBTOTAL(9,I110:I110)</f>
        <v>0</v>
      </c>
      <c r="J111" s="8">
        <f>SUBTOTAL(9,J110:J110)</f>
        <v>0</v>
      </c>
      <c r="K111" s="8">
        <f>SUBTOTAL(9,K110:K110)</f>
        <v>0</v>
      </c>
      <c r="L111" s="8">
        <f>SUBTOTAL(9,L110:L110)</f>
        <v>0</v>
      </c>
      <c r="M111" s="8">
        <f>SUBTOTAL(9,M110:M110)</f>
        <v>0.49333333333333329</v>
      </c>
      <c r="N111" s="8">
        <f>SUBTOTAL(9,N110:N110)</f>
        <v>0.31666666666666671</v>
      </c>
      <c r="O111" s="8">
        <f>SUBTOTAL(9,O110:O110)</f>
        <v>0.33333333333333331</v>
      </c>
      <c r="P111" s="8">
        <f>SUBTOTAL(9,P110:P110)</f>
        <v>0.49333333333333329</v>
      </c>
      <c r="Q111" s="8">
        <f>SUBTOTAL(9,Q110:Q110)</f>
        <v>0.51</v>
      </c>
      <c r="R111" s="8">
        <f>SUBTOTAL(9,R110:R110)</f>
        <v>0.48666666666666669</v>
      </c>
      <c r="S111" s="8">
        <f>SUBTOTAL(9,S110:S110)</f>
        <v>0.33333333333333331</v>
      </c>
      <c r="T111" s="8">
        <f>SUBTOTAL(9,T110:T110)</f>
        <v>0.49666666666666659</v>
      </c>
      <c r="U111" s="8">
        <f>SUBTOTAL(9,U110:U110)</f>
        <v>0.5</v>
      </c>
      <c r="V111" s="8">
        <f>SUBTOTAL(9,V110:V110)</f>
        <v>0.17666666666666669</v>
      </c>
      <c r="W111" s="8">
        <f>SUBTOTAL(9,W110:W110)</f>
        <v>0.5033333333333333</v>
      </c>
      <c r="X111" s="8">
        <f>SUBTOTAL(9,X110:X110)</f>
        <v>0.32666666666666672</v>
      </c>
    </row>
    <row r="112" spans="1:24" outlineLevel="2" x14ac:dyDescent="0.25">
      <c r="A112" s="1">
        <v>15653040</v>
      </c>
      <c r="B112" s="1" t="s">
        <v>177</v>
      </c>
      <c r="C112" s="1">
        <v>108310</v>
      </c>
      <c r="D112" s="1" t="s">
        <v>178</v>
      </c>
      <c r="E112" s="1">
        <v>159581</v>
      </c>
      <c r="F112" s="1" t="s">
        <v>179</v>
      </c>
      <c r="G112" s="4">
        <v>0.49516806722689077</v>
      </c>
      <c r="H112" s="2">
        <v>0.2142857142857143</v>
      </c>
      <c r="I112" s="2">
        <v>0.47142857142857142</v>
      </c>
      <c r="J112" s="2">
        <v>0.48214285714285721</v>
      </c>
      <c r="K112" s="2">
        <v>0.4</v>
      </c>
      <c r="L112" s="2">
        <v>0.42857142857142849</v>
      </c>
      <c r="M112" s="2">
        <v>0.79642857142857137</v>
      </c>
      <c r="N112" s="2">
        <v>0.4642857142857143</v>
      </c>
      <c r="O112" s="2">
        <v>0.35</v>
      </c>
      <c r="P112" s="2">
        <v>0.55714285714285716</v>
      </c>
      <c r="Q112" s="2">
        <v>0.50714285714285712</v>
      </c>
      <c r="R112" s="2">
        <v>0.61071428571428577</v>
      </c>
      <c r="S112" s="2">
        <v>0.51428571428571423</v>
      </c>
      <c r="T112" s="2">
        <v>0.41785714285714293</v>
      </c>
      <c r="U112" s="2">
        <v>0.7</v>
      </c>
      <c r="V112" s="2">
        <v>0.2857142857142857</v>
      </c>
      <c r="W112" s="2">
        <v>0.5892857142857143</v>
      </c>
      <c r="X112" s="2">
        <v>0.62857142857142856</v>
      </c>
    </row>
    <row r="113" spans="1:24" outlineLevel="2" x14ac:dyDescent="0.25">
      <c r="A113" s="1">
        <v>15653040</v>
      </c>
      <c r="B113" s="1" t="s">
        <v>177</v>
      </c>
      <c r="C113" s="1">
        <v>108310</v>
      </c>
      <c r="D113" s="1" t="s">
        <v>250</v>
      </c>
      <c r="E113" s="1">
        <v>237909</v>
      </c>
      <c r="F113" s="1" t="s">
        <v>251</v>
      </c>
      <c r="G113" s="4">
        <v>0.50819327731092434</v>
      </c>
      <c r="H113" s="2">
        <v>0.35714285714285721</v>
      </c>
      <c r="I113" s="2">
        <v>0.20714285714285721</v>
      </c>
      <c r="J113" s="2">
        <v>0.54285714285714282</v>
      </c>
      <c r="K113" s="2">
        <v>0.56428571428571428</v>
      </c>
      <c r="L113" s="2">
        <v>0.31428571428571428</v>
      </c>
      <c r="M113" s="2">
        <v>2.5000000000000001E-2</v>
      </c>
      <c r="N113" s="2">
        <v>0.54642857142857137</v>
      </c>
      <c r="O113" s="2">
        <v>0.1714285714285714</v>
      </c>
      <c r="P113" s="2">
        <v>0.43928571428571428</v>
      </c>
      <c r="Q113" s="2">
        <v>0.35357142857142859</v>
      </c>
      <c r="R113" s="2">
        <v>0.51071428571428568</v>
      </c>
      <c r="S113" s="2">
        <v>0.76071428571428568</v>
      </c>
      <c r="T113" s="2">
        <v>0.87142857142857144</v>
      </c>
      <c r="U113" s="2">
        <v>0.77857142857142858</v>
      </c>
      <c r="V113" s="2">
        <v>0.875</v>
      </c>
      <c r="W113" s="2">
        <v>0.87142857142857144</v>
      </c>
      <c r="X113" s="2">
        <v>0.45</v>
      </c>
    </row>
    <row r="114" spans="1:24" outlineLevel="1" x14ac:dyDescent="0.25">
      <c r="A114" s="7" t="str">
        <f>A113&amp;" - "&amp;B113</f>
        <v>15653040 - Radiology Cat Scan</v>
      </c>
      <c r="B114" s="7"/>
      <c r="C114" s="7"/>
      <c r="D114" s="7"/>
      <c r="E114" s="7"/>
      <c r="F114" s="7"/>
      <c r="G114" s="8">
        <f>SUBTOTAL(9,G112:G113)</f>
        <v>1.0033613445378151</v>
      </c>
      <c r="H114" s="8">
        <f>SUBTOTAL(9,H112:H113)</f>
        <v>0.57142857142857151</v>
      </c>
      <c r="I114" s="8">
        <f>SUBTOTAL(9,I112:I113)</f>
        <v>0.6785714285714286</v>
      </c>
      <c r="J114" s="8">
        <f>SUBTOTAL(9,J112:J113)</f>
        <v>1.0249999999999999</v>
      </c>
      <c r="K114" s="8">
        <f>SUBTOTAL(9,K112:K113)</f>
        <v>0.9642857142857143</v>
      </c>
      <c r="L114" s="8">
        <f>SUBTOTAL(9,L112:L113)</f>
        <v>0.74285714285714277</v>
      </c>
      <c r="M114" s="8">
        <f>SUBTOTAL(9,M112:M113)</f>
        <v>0.8214285714285714</v>
      </c>
      <c r="N114" s="8">
        <f>SUBTOTAL(9,N112:N113)</f>
        <v>1.0107142857142857</v>
      </c>
      <c r="O114" s="8">
        <f>SUBTOTAL(9,O112:O113)</f>
        <v>0.52142857142857135</v>
      </c>
      <c r="P114" s="8">
        <f>SUBTOTAL(9,P112:P113)</f>
        <v>0.99642857142857144</v>
      </c>
      <c r="Q114" s="8">
        <f>SUBTOTAL(9,Q112:Q113)</f>
        <v>0.86071428571428577</v>
      </c>
      <c r="R114" s="8">
        <f>SUBTOTAL(9,R112:R113)</f>
        <v>1.1214285714285714</v>
      </c>
      <c r="S114" s="8">
        <f>SUBTOTAL(9,S112:S113)</f>
        <v>1.2749999999999999</v>
      </c>
      <c r="T114" s="8">
        <f>SUBTOTAL(9,T112:T113)</f>
        <v>1.2892857142857144</v>
      </c>
      <c r="U114" s="8">
        <f>SUBTOTAL(9,U112:U113)</f>
        <v>1.4785714285714286</v>
      </c>
      <c r="V114" s="8">
        <f>SUBTOTAL(9,V112:V113)</f>
        <v>1.1607142857142856</v>
      </c>
      <c r="W114" s="8">
        <f>SUBTOTAL(9,W112:W113)</f>
        <v>1.4607142857142859</v>
      </c>
      <c r="X114" s="8">
        <f>SUBTOTAL(9,X112:X113)</f>
        <v>1.0785714285714285</v>
      </c>
    </row>
    <row r="115" spans="1:24" outlineLevel="2" x14ac:dyDescent="0.25">
      <c r="A115" s="1">
        <v>15653060</v>
      </c>
      <c r="B115" s="1" t="s">
        <v>128</v>
      </c>
      <c r="C115" s="1">
        <v>108332</v>
      </c>
      <c r="D115" s="1" t="s">
        <v>129</v>
      </c>
      <c r="E115" s="1">
        <v>219638</v>
      </c>
      <c r="F115" s="1" t="s">
        <v>130</v>
      </c>
      <c r="G115" s="4">
        <v>0.48697478991596638</v>
      </c>
      <c r="H115" s="2">
        <v>0.39285714285714279</v>
      </c>
      <c r="I115" s="2">
        <v>0.46071428571428569</v>
      </c>
      <c r="J115" s="2">
        <v>0.38571428571428568</v>
      </c>
      <c r="K115" s="2">
        <v>0.2857142857142857</v>
      </c>
      <c r="L115" s="2">
        <v>0.31071428571428572</v>
      </c>
      <c r="M115" s="2">
        <v>0.27500000000000002</v>
      </c>
      <c r="N115" s="2">
        <v>0.32857142857142863</v>
      </c>
      <c r="O115" s="2">
        <v>0.57499999999999996</v>
      </c>
      <c r="P115" s="2">
        <v>0.34642857142857142</v>
      </c>
      <c r="Q115" s="2">
        <v>0.49285714285714288</v>
      </c>
      <c r="R115" s="2">
        <v>0.41785714285714293</v>
      </c>
      <c r="S115" s="2">
        <v>0.65</v>
      </c>
      <c r="T115" s="2">
        <v>0.80714285714285716</v>
      </c>
      <c r="U115" s="2">
        <v>0.61428571428571432</v>
      </c>
      <c r="V115" s="2">
        <v>0.52142857142857146</v>
      </c>
      <c r="W115" s="2">
        <v>0.7321428571428571</v>
      </c>
      <c r="X115" s="2">
        <v>0.68214285714285716</v>
      </c>
    </row>
    <row r="116" spans="1:24" outlineLevel="2" x14ac:dyDescent="0.25">
      <c r="A116" s="1">
        <v>15653060</v>
      </c>
      <c r="B116" s="1" t="s">
        <v>128</v>
      </c>
      <c r="C116" s="1">
        <v>108332</v>
      </c>
      <c r="D116" s="1" t="s">
        <v>129</v>
      </c>
      <c r="E116" s="1">
        <v>158414</v>
      </c>
      <c r="F116" s="1" t="s">
        <v>138</v>
      </c>
      <c r="G116" s="4">
        <v>0.88508403361344534</v>
      </c>
      <c r="H116" s="2">
        <v>1.142857142857143</v>
      </c>
      <c r="I116" s="2">
        <v>0.7142857142857143</v>
      </c>
      <c r="J116" s="2">
        <v>0.47142857142857142</v>
      </c>
      <c r="K116" s="2">
        <v>0.90357142857142858</v>
      </c>
      <c r="L116" s="2">
        <v>0</v>
      </c>
      <c r="M116" s="2">
        <v>1.3321428571428571</v>
      </c>
      <c r="N116" s="2">
        <v>0.75357142857142856</v>
      </c>
      <c r="O116" s="2">
        <v>0.95</v>
      </c>
      <c r="P116" s="2">
        <v>1.660714285714286</v>
      </c>
      <c r="Q116" s="2">
        <v>1.121428571428571</v>
      </c>
      <c r="R116" s="2">
        <v>0.63928571428571423</v>
      </c>
      <c r="S116" s="2">
        <v>0.93928571428571428</v>
      </c>
      <c r="T116" s="2">
        <v>0.52857142857142858</v>
      </c>
      <c r="U116" s="2">
        <v>1.160714285714286</v>
      </c>
      <c r="V116" s="2">
        <v>1.0642857142857141</v>
      </c>
      <c r="W116" s="2">
        <v>0.75714285714285712</v>
      </c>
      <c r="X116" s="2">
        <v>0.90714285714285714</v>
      </c>
    </row>
    <row r="117" spans="1:24" outlineLevel="2" x14ac:dyDescent="0.25">
      <c r="A117" s="1">
        <v>15653060</v>
      </c>
      <c r="B117" s="1" t="s">
        <v>128</v>
      </c>
      <c r="C117" s="1">
        <v>108332</v>
      </c>
      <c r="D117" s="1" t="s">
        <v>129</v>
      </c>
      <c r="E117" s="1">
        <v>219229</v>
      </c>
      <c r="F117" s="1" t="s">
        <v>196</v>
      </c>
      <c r="G117" s="4">
        <v>0.45336134453781513</v>
      </c>
      <c r="H117" s="2">
        <v>0.31071428571428572</v>
      </c>
      <c r="I117" s="2">
        <v>0.23571428571428571</v>
      </c>
      <c r="J117" s="2">
        <v>0.54285714285714282</v>
      </c>
      <c r="K117" s="2">
        <v>0.5357142857142857</v>
      </c>
      <c r="L117" s="2">
        <v>0.66785714285714282</v>
      </c>
      <c r="M117" s="2">
        <v>0.34285714285714292</v>
      </c>
      <c r="N117" s="2">
        <v>0.4107142857142857</v>
      </c>
      <c r="O117" s="2">
        <v>0.48928571428571432</v>
      </c>
      <c r="P117" s="2">
        <v>0.45714285714285707</v>
      </c>
      <c r="Q117" s="2">
        <v>0.5</v>
      </c>
      <c r="R117" s="2">
        <v>0.59642857142857142</v>
      </c>
      <c r="S117" s="2">
        <v>0.46071428571428569</v>
      </c>
      <c r="T117" s="2">
        <v>0.15</v>
      </c>
      <c r="U117" s="2">
        <v>0.12857142857142859</v>
      </c>
      <c r="V117" s="2">
        <v>0.73571428571428577</v>
      </c>
      <c r="W117" s="2">
        <v>0.63571428571428568</v>
      </c>
      <c r="X117" s="2">
        <v>0.50714285714285712</v>
      </c>
    </row>
    <row r="118" spans="1:24" outlineLevel="2" x14ac:dyDescent="0.25">
      <c r="A118" s="1">
        <v>15653060</v>
      </c>
      <c r="B118" s="1" t="s">
        <v>128</v>
      </c>
      <c r="C118" s="1">
        <v>108332</v>
      </c>
      <c r="D118" s="1" t="s">
        <v>129</v>
      </c>
      <c r="E118" s="1">
        <v>160243</v>
      </c>
      <c r="F118" s="1" t="s">
        <v>241</v>
      </c>
      <c r="G118" s="4">
        <v>0.74537815126050422</v>
      </c>
      <c r="H118" s="2">
        <v>0.87142857142857144</v>
      </c>
      <c r="I118" s="2">
        <v>0.875</v>
      </c>
      <c r="J118" s="2">
        <v>0.76071428571428568</v>
      </c>
      <c r="K118" s="2">
        <v>0.95714285714285718</v>
      </c>
      <c r="L118" s="2">
        <v>0.85</v>
      </c>
      <c r="M118" s="2">
        <v>0.63571428571428568</v>
      </c>
      <c r="N118" s="2">
        <v>0.5535714285714286</v>
      </c>
      <c r="O118" s="2">
        <v>0.4642857142857143</v>
      </c>
      <c r="P118" s="2">
        <v>1.017857142857143</v>
      </c>
      <c r="Q118" s="2">
        <v>0.51071428571428568</v>
      </c>
      <c r="R118" s="2">
        <v>0.65357142857142858</v>
      </c>
      <c r="S118" s="2">
        <v>0.55714285714285716</v>
      </c>
      <c r="T118" s="2">
        <v>0.93214285714285716</v>
      </c>
      <c r="U118" s="2">
        <v>0.67142857142857137</v>
      </c>
      <c r="V118" s="2">
        <v>0.85357142857142854</v>
      </c>
      <c r="W118" s="2">
        <v>0.71785714285714286</v>
      </c>
      <c r="X118" s="2">
        <v>0.78928571428571426</v>
      </c>
    </row>
    <row r="119" spans="1:24" outlineLevel="1" x14ac:dyDescent="0.25">
      <c r="A119" s="7" t="str">
        <f>A118&amp;" - "&amp;B118</f>
        <v>15653060 - Radiology MRI</v>
      </c>
      <c r="B119" s="7"/>
      <c r="C119" s="7"/>
      <c r="D119" s="7"/>
      <c r="E119" s="7"/>
      <c r="F119" s="7"/>
      <c r="G119" s="8">
        <f>SUBTOTAL(9,G115:G118)</f>
        <v>2.5707983193277313</v>
      </c>
      <c r="H119" s="8">
        <f>SUBTOTAL(9,H115:H118)</f>
        <v>2.717857142857143</v>
      </c>
      <c r="I119" s="8">
        <f>SUBTOTAL(9,I115:I118)</f>
        <v>2.2857142857142856</v>
      </c>
      <c r="J119" s="8">
        <f>SUBTOTAL(9,J115:J118)</f>
        <v>2.1607142857142856</v>
      </c>
      <c r="K119" s="8">
        <f>SUBTOTAL(9,K115:K118)</f>
        <v>2.6821428571428574</v>
      </c>
      <c r="L119" s="8">
        <f>SUBTOTAL(9,L115:L118)</f>
        <v>1.8285714285714285</v>
      </c>
      <c r="M119" s="8">
        <f>SUBTOTAL(9,M115:M118)</f>
        <v>2.5857142857142859</v>
      </c>
      <c r="N119" s="8">
        <f>SUBTOTAL(9,N115:N118)</f>
        <v>2.0464285714285717</v>
      </c>
      <c r="O119" s="8">
        <f>SUBTOTAL(9,O115:O118)</f>
        <v>2.4785714285714286</v>
      </c>
      <c r="P119" s="8">
        <f>SUBTOTAL(9,P115:P118)</f>
        <v>3.4821428571428577</v>
      </c>
      <c r="Q119" s="8">
        <f>SUBTOTAL(9,Q115:Q118)</f>
        <v>2.6249999999999996</v>
      </c>
      <c r="R119" s="8">
        <f>SUBTOTAL(9,R115:R118)</f>
        <v>2.3071428571428569</v>
      </c>
      <c r="S119" s="8">
        <f>SUBTOTAL(9,S115:S118)</f>
        <v>2.6071428571428577</v>
      </c>
      <c r="T119" s="8">
        <f>SUBTOTAL(9,T115:T118)</f>
        <v>2.4178571428571427</v>
      </c>
      <c r="U119" s="8">
        <f>SUBTOTAL(9,U115:U118)</f>
        <v>2.5750000000000002</v>
      </c>
      <c r="V119" s="8">
        <f>SUBTOTAL(9,V115:V118)</f>
        <v>3.1749999999999998</v>
      </c>
      <c r="W119" s="8">
        <f>SUBTOTAL(9,W115:W118)</f>
        <v>2.842857142857143</v>
      </c>
      <c r="X119" s="8">
        <f>SUBTOTAL(9,X115:X118)</f>
        <v>2.8857142857142857</v>
      </c>
    </row>
    <row r="120" spans="1:24" outlineLevel="2" x14ac:dyDescent="0.25">
      <c r="A120" s="1">
        <v>15656000</v>
      </c>
      <c r="B120" s="1" t="s">
        <v>233</v>
      </c>
      <c r="C120" s="1">
        <v>108404</v>
      </c>
      <c r="D120" s="1" t="s">
        <v>234</v>
      </c>
      <c r="E120" s="1">
        <v>160525</v>
      </c>
      <c r="F120" s="1" t="s">
        <v>235</v>
      </c>
      <c r="G120" s="4">
        <v>0.36627450980392162</v>
      </c>
      <c r="H120" s="2">
        <v>0.29333333333333328</v>
      </c>
      <c r="I120" s="2">
        <v>0.14000000000000001</v>
      </c>
      <c r="J120" s="2">
        <v>0.39666666666666672</v>
      </c>
      <c r="K120" s="2">
        <v>0.46</v>
      </c>
      <c r="L120" s="2">
        <v>0.38666666666666671</v>
      </c>
      <c r="M120" s="2">
        <v>0.32</v>
      </c>
      <c r="N120" s="2">
        <v>0.52</v>
      </c>
      <c r="O120" s="2">
        <v>0.43333333333333329</v>
      </c>
      <c r="P120" s="2">
        <v>0.45333333333333331</v>
      </c>
      <c r="Q120" s="2">
        <v>0.42</v>
      </c>
      <c r="R120" s="2">
        <v>0.42666666666666669</v>
      </c>
      <c r="S120" s="2">
        <v>0.39333333333333331</v>
      </c>
      <c r="T120" s="2">
        <v>0.26666666666666672</v>
      </c>
      <c r="U120" s="2">
        <v>0.39333333333333331</v>
      </c>
      <c r="V120" s="2">
        <v>0.38666666666666671</v>
      </c>
      <c r="W120" s="2">
        <v>0.16</v>
      </c>
      <c r="X120" s="2">
        <v>0.37666666666666659</v>
      </c>
    </row>
    <row r="121" spans="1:24" outlineLevel="1" x14ac:dyDescent="0.25">
      <c r="A121" s="7" t="str">
        <f>A120&amp;" - "&amp;B120</f>
        <v>15656000 - CT - Pharmacy</v>
      </c>
      <c r="B121" s="7"/>
      <c r="C121" s="7"/>
      <c r="D121" s="7"/>
      <c r="E121" s="7"/>
      <c r="F121" s="7"/>
      <c r="G121" s="8">
        <f>SUBTOTAL(9,G120:G120)</f>
        <v>0.36627450980392162</v>
      </c>
      <c r="H121" s="8">
        <f>SUBTOTAL(9,H120:H120)</f>
        <v>0.29333333333333328</v>
      </c>
      <c r="I121" s="8">
        <f>SUBTOTAL(9,I120:I120)</f>
        <v>0.14000000000000001</v>
      </c>
      <c r="J121" s="8">
        <f>SUBTOTAL(9,J120:J120)</f>
        <v>0.39666666666666672</v>
      </c>
      <c r="K121" s="8">
        <f>SUBTOTAL(9,K120:K120)</f>
        <v>0.46</v>
      </c>
      <c r="L121" s="8">
        <f>SUBTOTAL(9,L120:L120)</f>
        <v>0.38666666666666671</v>
      </c>
      <c r="M121" s="8">
        <f>SUBTOTAL(9,M120:M120)</f>
        <v>0.32</v>
      </c>
      <c r="N121" s="8">
        <f>SUBTOTAL(9,N120:N120)</f>
        <v>0.52</v>
      </c>
      <c r="O121" s="8">
        <f>SUBTOTAL(9,O120:O120)</f>
        <v>0.43333333333333329</v>
      </c>
      <c r="P121" s="8">
        <f>SUBTOTAL(9,P120:P120)</f>
        <v>0.45333333333333331</v>
      </c>
      <c r="Q121" s="8">
        <f>SUBTOTAL(9,Q120:Q120)</f>
        <v>0.42</v>
      </c>
      <c r="R121" s="8">
        <f>SUBTOTAL(9,R120:R120)</f>
        <v>0.42666666666666669</v>
      </c>
      <c r="S121" s="8">
        <f>SUBTOTAL(9,S120:S120)</f>
        <v>0.39333333333333331</v>
      </c>
      <c r="T121" s="8">
        <f>SUBTOTAL(9,T120:T120)</f>
        <v>0.26666666666666672</v>
      </c>
      <c r="U121" s="8">
        <f>SUBTOTAL(9,U120:U120)</f>
        <v>0.39333333333333331</v>
      </c>
      <c r="V121" s="8">
        <f>SUBTOTAL(9,V120:V120)</f>
        <v>0.38666666666666671</v>
      </c>
      <c r="W121" s="8">
        <f>SUBTOTAL(9,W120:W120)</f>
        <v>0.16</v>
      </c>
      <c r="X121" s="8">
        <f>SUBTOTAL(9,X120:X120)</f>
        <v>0.37666666666666659</v>
      </c>
    </row>
    <row r="122" spans="1:24" outlineLevel="2" x14ac:dyDescent="0.25">
      <c r="A122" s="1">
        <v>15656110</v>
      </c>
      <c r="B122" s="1" t="s">
        <v>44</v>
      </c>
      <c r="C122" s="1">
        <v>108407</v>
      </c>
      <c r="D122" s="1" t="s">
        <v>45</v>
      </c>
      <c r="E122" s="1">
        <v>249265</v>
      </c>
      <c r="F122" s="1" t="s">
        <v>46</v>
      </c>
      <c r="G122" s="4">
        <v>0.38</v>
      </c>
      <c r="H122" s="2">
        <v>0.41333333333333327</v>
      </c>
      <c r="I122" s="2">
        <v>0.54</v>
      </c>
      <c r="J122" s="2">
        <v>0.23333333333333331</v>
      </c>
      <c r="K122" s="2">
        <v>0.38666666666666671</v>
      </c>
      <c r="L122" s="2">
        <v>0.38666666666666671</v>
      </c>
      <c r="M122" s="2">
        <v>0.84666666666666668</v>
      </c>
      <c r="N122" s="2">
        <v>0.23333333333333331</v>
      </c>
      <c r="O122" s="2">
        <v>0.23333333333333331</v>
      </c>
      <c r="P122" s="2">
        <v>0.38666666666666671</v>
      </c>
      <c r="Q122" s="2">
        <v>0.38666666666666671</v>
      </c>
      <c r="R122" s="2">
        <v>0.08</v>
      </c>
      <c r="S122" s="2">
        <v>0.54</v>
      </c>
      <c r="T122" s="2">
        <v>0.23333333333333331</v>
      </c>
      <c r="U122" s="2">
        <v>0.54</v>
      </c>
      <c r="V122" s="2">
        <v>0.4</v>
      </c>
      <c r="W122" s="2">
        <v>0.38666666666666671</v>
      </c>
      <c r="X122" s="2">
        <v>0.23333333333333331</v>
      </c>
    </row>
    <row r="123" spans="1:24" outlineLevel="2" x14ac:dyDescent="0.25">
      <c r="A123" s="1">
        <v>15656110</v>
      </c>
      <c r="B123" s="1" t="s">
        <v>44</v>
      </c>
      <c r="C123" s="1">
        <v>108407</v>
      </c>
      <c r="D123" s="1" t="s">
        <v>45</v>
      </c>
      <c r="E123" s="1">
        <v>200842</v>
      </c>
      <c r="F123" s="1" t="s">
        <v>60</v>
      </c>
      <c r="G123" s="4">
        <v>0.34980392156862739</v>
      </c>
      <c r="H123" s="2">
        <v>0.23333333333333331</v>
      </c>
      <c r="I123" s="2">
        <v>0.54</v>
      </c>
      <c r="J123" s="2">
        <v>0.54</v>
      </c>
      <c r="K123" s="2">
        <v>0.38666666666666671</v>
      </c>
      <c r="L123" s="2">
        <v>0</v>
      </c>
      <c r="M123" s="2">
        <v>0.38666666666666671</v>
      </c>
      <c r="N123" s="2">
        <v>9.3333333333333338E-2</v>
      </c>
      <c r="O123" s="2">
        <v>0.08</v>
      </c>
      <c r="P123" s="2">
        <v>0.27333333333333332</v>
      </c>
      <c r="Q123" s="2">
        <v>0.38666666666666671</v>
      </c>
      <c r="R123" s="2">
        <v>0.38666666666666671</v>
      </c>
      <c r="S123" s="2">
        <v>0.38666666666666671</v>
      </c>
      <c r="T123" s="2">
        <v>0.54</v>
      </c>
      <c r="U123" s="2">
        <v>0.54</v>
      </c>
      <c r="V123" s="2">
        <v>0.38666666666666671</v>
      </c>
      <c r="W123" s="2">
        <v>0.4</v>
      </c>
      <c r="X123" s="2">
        <v>0.38666666666666671</v>
      </c>
    </row>
    <row r="124" spans="1:24" outlineLevel="1" x14ac:dyDescent="0.25">
      <c r="A124" s="7" t="str">
        <f>A123&amp;" - "&amp;B123</f>
        <v>15656110 - CT - Respiratory Therapy</v>
      </c>
      <c r="B124" s="7"/>
      <c r="C124" s="7"/>
      <c r="D124" s="7"/>
      <c r="E124" s="7"/>
      <c r="F124" s="7"/>
      <c r="G124" s="8">
        <f>SUBTOTAL(9,G122:G123)</f>
        <v>0.72980392156862739</v>
      </c>
      <c r="H124" s="8">
        <f>SUBTOTAL(9,H122:H123)</f>
        <v>0.64666666666666661</v>
      </c>
      <c r="I124" s="8">
        <f>SUBTOTAL(9,I122:I123)</f>
        <v>1.08</v>
      </c>
      <c r="J124" s="8">
        <f>SUBTOTAL(9,J122:J123)</f>
        <v>0.77333333333333332</v>
      </c>
      <c r="K124" s="8">
        <f>SUBTOTAL(9,K122:K123)</f>
        <v>0.77333333333333343</v>
      </c>
      <c r="L124" s="8">
        <f>SUBTOTAL(9,L122:L123)</f>
        <v>0.38666666666666671</v>
      </c>
      <c r="M124" s="8">
        <f>SUBTOTAL(9,M122:M123)</f>
        <v>1.2333333333333334</v>
      </c>
      <c r="N124" s="8">
        <f>SUBTOTAL(9,N122:N123)</f>
        <v>0.32666666666666666</v>
      </c>
      <c r="O124" s="8">
        <f>SUBTOTAL(9,O122:O123)</f>
        <v>0.3133333333333333</v>
      </c>
      <c r="P124" s="8">
        <f>SUBTOTAL(9,P122:P123)</f>
        <v>0.66</v>
      </c>
      <c r="Q124" s="8">
        <f>SUBTOTAL(9,Q122:Q123)</f>
        <v>0.77333333333333343</v>
      </c>
      <c r="R124" s="8">
        <f>SUBTOTAL(9,R122:R123)</f>
        <v>0.46666666666666673</v>
      </c>
      <c r="S124" s="8">
        <f>SUBTOTAL(9,S122:S123)</f>
        <v>0.92666666666666675</v>
      </c>
      <c r="T124" s="8">
        <f>SUBTOTAL(9,T122:T123)</f>
        <v>0.77333333333333332</v>
      </c>
      <c r="U124" s="8">
        <f>SUBTOTAL(9,U122:U123)</f>
        <v>1.08</v>
      </c>
      <c r="V124" s="8">
        <f>SUBTOTAL(9,V122:V123)</f>
        <v>0.78666666666666674</v>
      </c>
      <c r="W124" s="8">
        <f>SUBTOTAL(9,W122:W123)</f>
        <v>0.78666666666666674</v>
      </c>
      <c r="X124" s="8">
        <f>SUBTOTAL(9,X122:X123)</f>
        <v>0.62</v>
      </c>
    </row>
    <row r="125" spans="1:24" outlineLevel="2" x14ac:dyDescent="0.25">
      <c r="A125" s="1">
        <v>15660040</v>
      </c>
      <c r="B125" s="1" t="s">
        <v>89</v>
      </c>
      <c r="C125" s="1">
        <v>108102</v>
      </c>
      <c r="D125" s="1" t="s">
        <v>48</v>
      </c>
      <c r="E125" s="1">
        <v>218421</v>
      </c>
      <c r="F125" s="1" t="s">
        <v>215</v>
      </c>
      <c r="G125" s="4">
        <v>0.21392857142857141</v>
      </c>
      <c r="H125" s="2">
        <v>0.15333333333333329</v>
      </c>
      <c r="I125" s="2">
        <v>7.6666666666666661E-2</v>
      </c>
      <c r="J125" s="2">
        <v>0.30666666666666659</v>
      </c>
      <c r="K125" s="2">
        <v>0.30666666666666659</v>
      </c>
      <c r="L125" s="2">
        <v>0</v>
      </c>
      <c r="M125" s="2">
        <v>7.6666666666666661E-2</v>
      </c>
      <c r="N125" s="2">
        <v>0.30666666666666659</v>
      </c>
      <c r="O125" s="2">
        <v>0.30666666666666659</v>
      </c>
      <c r="P125" s="2">
        <v>0.30666666666666659</v>
      </c>
      <c r="Q125" s="2">
        <v>0.30666666666666659</v>
      </c>
      <c r="R125" s="2">
        <v>0.30666666666666659</v>
      </c>
      <c r="S125" s="2">
        <v>0.23</v>
      </c>
      <c r="T125" s="2">
        <v>0.30666666666666659</v>
      </c>
      <c r="U125" s="2">
        <v>7.6666666666666661E-2</v>
      </c>
      <c r="V125" s="2">
        <v>0.76666666666666672</v>
      </c>
      <c r="W125" s="2">
        <v>8.1666666666666665E-2</v>
      </c>
      <c r="X125" s="2">
        <v>7.6666666666666661E-2</v>
      </c>
    </row>
    <row r="126" spans="1:24" outlineLevel="2" x14ac:dyDescent="0.25">
      <c r="A126" s="1">
        <v>15660040</v>
      </c>
      <c r="B126" s="1" t="s">
        <v>89</v>
      </c>
      <c r="C126" s="1">
        <v>108627</v>
      </c>
      <c r="D126" s="1" t="s">
        <v>112</v>
      </c>
      <c r="E126" s="1">
        <v>584322</v>
      </c>
      <c r="F126" s="1" t="s">
        <v>113</v>
      </c>
      <c r="G126" s="4">
        <v>0.54980392156862745</v>
      </c>
      <c r="H126" s="2">
        <v>0.29666666666666669</v>
      </c>
      <c r="I126" s="2">
        <v>0.23</v>
      </c>
      <c r="J126" s="2">
        <v>0.40666666666666668</v>
      </c>
      <c r="K126" s="2">
        <v>0.48666666666666669</v>
      </c>
      <c r="L126" s="2">
        <v>0.69333333333333336</v>
      </c>
      <c r="M126" s="2">
        <v>0.36</v>
      </c>
      <c r="N126" s="2">
        <v>0.7466666666666667</v>
      </c>
      <c r="O126" s="2">
        <v>0.15</v>
      </c>
      <c r="P126" s="2">
        <v>0.57999999999999996</v>
      </c>
      <c r="Q126" s="2">
        <v>0.54333333333333333</v>
      </c>
      <c r="R126" s="2">
        <v>0.1633333333333333</v>
      </c>
      <c r="S126" s="2">
        <v>0.82666666666666666</v>
      </c>
      <c r="T126" s="2">
        <v>0.95</v>
      </c>
      <c r="U126" s="2">
        <v>0.57999999999999996</v>
      </c>
      <c r="V126" s="2">
        <v>0.81666666666666665</v>
      </c>
      <c r="W126" s="2">
        <v>1.003333333333333</v>
      </c>
      <c r="X126" s="2">
        <v>0.51333333333333331</v>
      </c>
    </row>
    <row r="127" spans="1:24" outlineLevel="2" x14ac:dyDescent="0.25">
      <c r="A127" s="1">
        <v>15660040</v>
      </c>
      <c r="B127" s="1" t="s">
        <v>89</v>
      </c>
      <c r="C127" s="1">
        <v>115241</v>
      </c>
      <c r="D127" s="1" t="s">
        <v>90</v>
      </c>
      <c r="E127" s="1">
        <v>160581</v>
      </c>
      <c r="F127" s="1" t="s">
        <v>91</v>
      </c>
      <c r="G127" s="4">
        <v>0.3959259259259259</v>
      </c>
      <c r="H127" s="2">
        <v>0.53</v>
      </c>
      <c r="I127" s="2">
        <v>0.42333333333333328</v>
      </c>
      <c r="J127" s="2">
        <v>0.1633333333333333</v>
      </c>
      <c r="K127" s="2">
        <v>0.46</v>
      </c>
      <c r="L127" s="2">
        <v>0.32666666666666672</v>
      </c>
      <c r="M127" s="2">
        <v>0.36333333333333329</v>
      </c>
      <c r="N127" s="2">
        <v>0.49</v>
      </c>
      <c r="O127" s="2">
        <v>0.52</v>
      </c>
      <c r="P127" s="2">
        <v>0.55666666666666664</v>
      </c>
      <c r="Q127" s="2">
        <v>0.1633333333333333</v>
      </c>
      <c r="R127" s="2">
        <v>0.39</v>
      </c>
      <c r="S127" s="2">
        <v>0.12666666666666671</v>
      </c>
      <c r="T127" s="2">
        <v>0.67</v>
      </c>
      <c r="U127" s="2">
        <v>0.45666666666666672</v>
      </c>
      <c r="V127" s="2">
        <v>0.53666666666666663</v>
      </c>
      <c r="W127" s="2">
        <v>0.32666666666666672</v>
      </c>
      <c r="X127" s="2">
        <v>0.46</v>
      </c>
    </row>
    <row r="128" spans="1:24" outlineLevel="1" x14ac:dyDescent="0.25">
      <c r="A128" s="7" t="str">
        <f>A127&amp;" - "&amp;B127</f>
        <v>15660040 - NRSG - Emergency Room</v>
      </c>
      <c r="B128" s="7"/>
      <c r="C128" s="7"/>
      <c r="D128" s="7"/>
      <c r="E128" s="7"/>
      <c r="F128" s="7"/>
      <c r="G128" s="8">
        <f>SUBTOTAL(9,G125:G127)</f>
        <v>1.1596584189231249</v>
      </c>
      <c r="H128" s="8">
        <f>SUBTOTAL(9,H125:H127)</f>
        <v>0.98</v>
      </c>
      <c r="I128" s="8">
        <f>SUBTOTAL(9,I125:I127)</f>
        <v>0.73</v>
      </c>
      <c r="J128" s="8">
        <f>SUBTOTAL(9,J125:J127)</f>
        <v>0.87666666666666659</v>
      </c>
      <c r="K128" s="8">
        <f>SUBTOTAL(9,K125:K127)</f>
        <v>1.2533333333333332</v>
      </c>
      <c r="L128" s="8">
        <f>SUBTOTAL(9,L125:L127)</f>
        <v>1.02</v>
      </c>
      <c r="M128" s="8">
        <f>SUBTOTAL(9,M125:M127)</f>
        <v>0.79999999999999993</v>
      </c>
      <c r="N128" s="8">
        <f>SUBTOTAL(9,N125:N127)</f>
        <v>1.5433333333333332</v>
      </c>
      <c r="O128" s="8">
        <f>SUBTOTAL(9,O125:O127)</f>
        <v>0.97666666666666657</v>
      </c>
      <c r="P128" s="8">
        <f>SUBTOTAL(9,P125:P127)</f>
        <v>1.4433333333333331</v>
      </c>
      <c r="Q128" s="8">
        <f>SUBTOTAL(9,Q125:Q127)</f>
        <v>1.0133333333333332</v>
      </c>
      <c r="R128" s="8">
        <f>SUBTOTAL(9,R125:R127)</f>
        <v>0.85999999999999988</v>
      </c>
      <c r="S128" s="8">
        <f>SUBTOTAL(9,S125:S127)</f>
        <v>1.1833333333333333</v>
      </c>
      <c r="T128" s="8">
        <f>SUBTOTAL(9,T125:T127)</f>
        <v>1.9266666666666667</v>
      </c>
      <c r="U128" s="8">
        <f>SUBTOTAL(9,U125:U127)</f>
        <v>1.1133333333333333</v>
      </c>
      <c r="V128" s="8">
        <f>SUBTOTAL(9,V125:V127)</f>
        <v>2.12</v>
      </c>
      <c r="W128" s="8">
        <f>SUBTOTAL(9,W125:W127)</f>
        <v>1.4116666666666662</v>
      </c>
      <c r="X128" s="8">
        <f>SUBTOTAL(9,X125:X127)</f>
        <v>1.05</v>
      </c>
    </row>
    <row r="129" spans="1:24" outlineLevel="2" x14ac:dyDescent="0.25">
      <c r="A129" s="1">
        <v>15690080</v>
      </c>
      <c r="B129" s="1" t="s">
        <v>41</v>
      </c>
      <c r="C129" s="1">
        <v>108127</v>
      </c>
      <c r="D129" s="1" t="s">
        <v>42</v>
      </c>
      <c r="E129" s="1">
        <v>203077</v>
      </c>
      <c r="F129" s="1" t="s">
        <v>43</v>
      </c>
      <c r="G129" s="4">
        <v>0.34166666666666667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0.1033333333333333</v>
      </c>
      <c r="N129" s="2">
        <v>0.37333333333333341</v>
      </c>
      <c r="O129" s="2">
        <v>0.41</v>
      </c>
      <c r="P129" s="2">
        <v>0.42333333333333328</v>
      </c>
      <c r="Q129" s="2">
        <v>0.27333333333333332</v>
      </c>
      <c r="R129" s="2">
        <v>0.42</v>
      </c>
      <c r="S129" s="2">
        <v>0</v>
      </c>
      <c r="T129" s="2">
        <v>0.38333333333333341</v>
      </c>
      <c r="U129" s="2">
        <v>0.46666666666666667</v>
      </c>
      <c r="V129" s="2">
        <v>0.3</v>
      </c>
      <c r="W129" s="2">
        <v>0.53</v>
      </c>
      <c r="X129" s="2">
        <v>0.41666666666666669</v>
      </c>
    </row>
    <row r="130" spans="1:24" outlineLevel="2" x14ac:dyDescent="0.25">
      <c r="A130" s="1">
        <v>15690080</v>
      </c>
      <c r="B130" s="1" t="s">
        <v>41</v>
      </c>
      <c r="C130" s="1">
        <v>108127</v>
      </c>
      <c r="D130" s="1" t="s">
        <v>42</v>
      </c>
      <c r="E130" s="1">
        <v>159073</v>
      </c>
      <c r="F130" s="1" t="s">
        <v>232</v>
      </c>
      <c r="G130" s="4">
        <v>0.38404761904761903</v>
      </c>
      <c r="H130" s="2">
        <v>0.49333333333333329</v>
      </c>
      <c r="I130" s="2">
        <v>0.47333333333333327</v>
      </c>
      <c r="J130" s="2">
        <v>0.5</v>
      </c>
      <c r="K130" s="2">
        <v>0.5</v>
      </c>
      <c r="L130" s="2">
        <v>0.46666666666666667</v>
      </c>
      <c r="M130" s="2">
        <v>0.1866666666666667</v>
      </c>
      <c r="N130" s="2">
        <v>0.33</v>
      </c>
      <c r="O130" s="2">
        <v>0.41</v>
      </c>
      <c r="P130" s="2">
        <v>0.42333333333333328</v>
      </c>
      <c r="Q130" s="2">
        <v>0.23333333333333331</v>
      </c>
      <c r="R130" s="2">
        <v>0.42</v>
      </c>
      <c r="S130" s="2">
        <v>0</v>
      </c>
      <c r="T130" s="2">
        <v>0.38333333333333341</v>
      </c>
      <c r="U130" s="2">
        <v>0.51</v>
      </c>
      <c r="V130" s="2">
        <v>0.29666666666666669</v>
      </c>
      <c r="W130" s="2">
        <v>0.55000000000000004</v>
      </c>
      <c r="X130" s="2">
        <v>0.41666666666666669</v>
      </c>
    </row>
    <row r="131" spans="1:24" outlineLevel="2" x14ac:dyDescent="0.25">
      <c r="A131" s="1">
        <v>15690080</v>
      </c>
      <c r="B131" s="1" t="s">
        <v>41</v>
      </c>
      <c r="C131" s="1">
        <v>108146</v>
      </c>
      <c r="D131" s="1" t="s">
        <v>244</v>
      </c>
      <c r="E131" s="1">
        <v>158706</v>
      </c>
      <c r="F131" s="1" t="s">
        <v>245</v>
      </c>
      <c r="G131" s="4">
        <v>0.37163137254901962</v>
      </c>
      <c r="H131" s="2">
        <v>0.23666666666666669</v>
      </c>
      <c r="I131" s="2">
        <v>0.41333333333333327</v>
      </c>
      <c r="J131" s="2">
        <v>0.27333333333333332</v>
      </c>
      <c r="K131" s="2">
        <v>0.3</v>
      </c>
      <c r="L131" s="2">
        <v>0.27333333333333332</v>
      </c>
      <c r="M131" s="2">
        <v>0.4</v>
      </c>
      <c r="N131" s="2">
        <v>0.37333333333333341</v>
      </c>
      <c r="O131" s="2">
        <v>0.50666666666666671</v>
      </c>
      <c r="P131" s="2">
        <v>0.36</v>
      </c>
      <c r="Q131" s="2">
        <v>0.37</v>
      </c>
      <c r="R131" s="2">
        <v>0.48</v>
      </c>
      <c r="S131" s="2">
        <v>0.51333333333333331</v>
      </c>
      <c r="T131" s="2">
        <v>0.51</v>
      </c>
      <c r="U131" s="2">
        <v>0.38733333333333342</v>
      </c>
      <c r="V131" s="2">
        <v>0.51373333333333338</v>
      </c>
      <c r="W131" s="2">
        <v>0.27333333333333332</v>
      </c>
      <c r="X131" s="2">
        <v>0.1333333333333333</v>
      </c>
    </row>
    <row r="132" spans="1:24" outlineLevel="2" x14ac:dyDescent="0.25">
      <c r="A132" s="1">
        <v>15690080</v>
      </c>
      <c r="B132" s="1" t="s">
        <v>41</v>
      </c>
      <c r="C132" s="1">
        <v>108152</v>
      </c>
      <c r="D132" s="1" t="s">
        <v>86</v>
      </c>
      <c r="E132" s="1">
        <v>159816</v>
      </c>
      <c r="F132" s="1" t="s">
        <v>87</v>
      </c>
      <c r="G132" s="4">
        <v>0.21904761904761899</v>
      </c>
      <c r="H132" s="2">
        <v>0.39666666666666672</v>
      </c>
      <c r="I132" s="2">
        <v>0.42666666666666669</v>
      </c>
      <c r="J132" s="2">
        <v>0.34</v>
      </c>
      <c r="K132" s="2">
        <v>0.36666666666666659</v>
      </c>
      <c r="L132" s="2">
        <v>0.20666666666666669</v>
      </c>
      <c r="M132" s="2">
        <v>0.26</v>
      </c>
      <c r="N132" s="2">
        <v>0.2166666666666667</v>
      </c>
      <c r="O132" s="2">
        <v>5.6666666666666657E-2</v>
      </c>
      <c r="P132" s="2">
        <v>7.0000000000000007E-2</v>
      </c>
      <c r="Q132" s="2">
        <v>0.155</v>
      </c>
      <c r="R132" s="2">
        <v>0.25333333333333341</v>
      </c>
      <c r="S132" s="2">
        <v>0.23333333333333331</v>
      </c>
      <c r="T132" s="2">
        <v>0.24</v>
      </c>
      <c r="U132" s="2">
        <v>0.2233333333333333</v>
      </c>
      <c r="V132" s="2">
        <v>0.25666666666666671</v>
      </c>
      <c r="W132" s="2">
        <v>0.2166666666666667</v>
      </c>
      <c r="X132" s="2">
        <v>0.1466666666666667</v>
      </c>
    </row>
    <row r="133" spans="1:24" outlineLevel="2" x14ac:dyDescent="0.25">
      <c r="A133" s="1">
        <v>15690080</v>
      </c>
      <c r="B133" s="1" t="s">
        <v>41</v>
      </c>
      <c r="C133" s="1">
        <v>108155</v>
      </c>
      <c r="D133" s="1" t="s">
        <v>119</v>
      </c>
      <c r="E133" s="1">
        <v>222262</v>
      </c>
      <c r="F133" s="1" t="s">
        <v>120</v>
      </c>
      <c r="G133" s="4">
        <v>0.3884078431372549</v>
      </c>
      <c r="H133" s="2">
        <v>0.39</v>
      </c>
      <c r="I133" s="2">
        <v>0.47</v>
      </c>
      <c r="J133" s="2">
        <v>0.27666666666666673</v>
      </c>
      <c r="K133" s="2">
        <v>0.55000000000000004</v>
      </c>
      <c r="L133" s="2">
        <v>0.53</v>
      </c>
      <c r="M133" s="2">
        <v>0.40666666666666668</v>
      </c>
      <c r="N133" s="2">
        <v>0.39</v>
      </c>
      <c r="O133" s="2">
        <v>0.16</v>
      </c>
      <c r="P133" s="2">
        <v>0.33333333333333331</v>
      </c>
      <c r="Q133" s="2">
        <v>0.41333333333333327</v>
      </c>
      <c r="R133" s="2">
        <v>0.1633333333333333</v>
      </c>
      <c r="S133" s="2">
        <v>0.41666666666666669</v>
      </c>
      <c r="T133" s="2">
        <v>0.13919999999999999</v>
      </c>
      <c r="U133" s="2">
        <v>0.68573333333333331</v>
      </c>
      <c r="V133" s="2">
        <v>0.34373333333333328</v>
      </c>
      <c r="W133" s="2">
        <v>0.23133333333333339</v>
      </c>
      <c r="X133" s="2">
        <v>0.7029333333333333</v>
      </c>
    </row>
    <row r="134" spans="1:24" outlineLevel="2" x14ac:dyDescent="0.25">
      <c r="A134" s="1">
        <v>15690080</v>
      </c>
      <c r="B134" s="1" t="s">
        <v>41</v>
      </c>
      <c r="C134" s="1">
        <v>108155</v>
      </c>
      <c r="D134" s="1" t="s">
        <v>119</v>
      </c>
      <c r="E134" s="1">
        <v>188539</v>
      </c>
      <c r="F134" s="1" t="s">
        <v>121</v>
      </c>
      <c r="G134" s="4">
        <v>0.36867450980392158</v>
      </c>
      <c r="H134" s="2">
        <v>0.35333333333333328</v>
      </c>
      <c r="I134" s="2">
        <v>0.35</v>
      </c>
      <c r="J134" s="2">
        <v>0.35333333333333328</v>
      </c>
      <c r="K134" s="2">
        <v>0.58333333333333337</v>
      </c>
      <c r="L134" s="2">
        <v>0.61333333333333329</v>
      </c>
      <c r="M134" s="2">
        <v>0.6166666666666667</v>
      </c>
      <c r="N134" s="2">
        <v>0.15333333333333329</v>
      </c>
      <c r="O134" s="2">
        <v>0.43666666666666659</v>
      </c>
      <c r="P134" s="2">
        <v>0.43333333333333329</v>
      </c>
      <c r="Q134" s="2">
        <v>0.2</v>
      </c>
      <c r="R134" s="2">
        <v>0.34666666666666668</v>
      </c>
      <c r="S134" s="2">
        <v>0.28666666666666668</v>
      </c>
      <c r="T134" s="2">
        <v>0.47733333333333328</v>
      </c>
      <c r="U134" s="2">
        <v>0</v>
      </c>
      <c r="V134" s="2">
        <v>0.24626666666666669</v>
      </c>
      <c r="W134" s="2">
        <v>0.43626666666666658</v>
      </c>
      <c r="X134" s="2">
        <v>0.38093333333333329</v>
      </c>
    </row>
    <row r="135" spans="1:24" outlineLevel="2" x14ac:dyDescent="0.25">
      <c r="A135" s="1">
        <v>15690080</v>
      </c>
      <c r="B135" s="1" t="s">
        <v>41</v>
      </c>
      <c r="C135" s="1">
        <v>108155</v>
      </c>
      <c r="D135" s="1" t="s">
        <v>119</v>
      </c>
      <c r="E135" s="1">
        <v>157442</v>
      </c>
      <c r="F135" s="1" t="s">
        <v>188</v>
      </c>
      <c r="G135" s="4">
        <v>0.37633725490196079</v>
      </c>
      <c r="H135" s="2">
        <v>0.2</v>
      </c>
      <c r="I135" s="2">
        <v>0</v>
      </c>
      <c r="J135" s="2">
        <v>0.30333333333333329</v>
      </c>
      <c r="K135" s="2">
        <v>0.52333333333333332</v>
      </c>
      <c r="L135" s="2">
        <v>0.40333333333333332</v>
      </c>
      <c r="M135" s="2">
        <v>0.1033333333333333</v>
      </c>
      <c r="N135" s="2">
        <v>0.46666666666666667</v>
      </c>
      <c r="O135" s="2">
        <v>0.63</v>
      </c>
      <c r="P135" s="2">
        <v>0.30333333333333329</v>
      </c>
      <c r="Q135" s="2">
        <v>0.40666666666666668</v>
      </c>
      <c r="R135" s="2">
        <v>0.2</v>
      </c>
      <c r="S135" s="2">
        <v>0.72333333333333338</v>
      </c>
      <c r="T135" s="2">
        <v>0.41306666666666669</v>
      </c>
      <c r="U135" s="2">
        <v>0.51853333333333329</v>
      </c>
      <c r="V135" s="2">
        <v>0.32573333333333332</v>
      </c>
      <c r="W135" s="2">
        <v>0.32840000000000003</v>
      </c>
      <c r="X135" s="2">
        <v>0.54866666666666664</v>
      </c>
    </row>
    <row r="136" spans="1:24" outlineLevel="2" x14ac:dyDescent="0.25">
      <c r="A136" s="1">
        <v>15690080</v>
      </c>
      <c r="B136" s="1" t="s">
        <v>41</v>
      </c>
      <c r="C136" s="1">
        <v>108155</v>
      </c>
      <c r="D136" s="1" t="s">
        <v>119</v>
      </c>
      <c r="E136" s="1">
        <v>158780</v>
      </c>
      <c r="F136" s="1" t="s">
        <v>191</v>
      </c>
      <c r="G136" s="4">
        <v>0.3402</v>
      </c>
      <c r="H136" s="2">
        <v>0.31666666666666671</v>
      </c>
      <c r="I136" s="2">
        <v>0.58666666666666667</v>
      </c>
      <c r="J136" s="2">
        <v>0.56333333333333335</v>
      </c>
      <c r="K136" s="2">
        <v>0.48666666666666669</v>
      </c>
      <c r="L136" s="2">
        <v>0.30666666666666659</v>
      </c>
      <c r="M136" s="2">
        <v>0.30666666666666659</v>
      </c>
      <c r="N136" s="2">
        <v>0.35666666666666669</v>
      </c>
      <c r="O136" s="2">
        <v>0.31666666666666671</v>
      </c>
      <c r="P136" s="2">
        <v>0.27333333333333332</v>
      </c>
      <c r="Q136" s="2">
        <v>0.23666666666666669</v>
      </c>
      <c r="R136" s="2">
        <v>0.30666666666666659</v>
      </c>
      <c r="S136" s="2">
        <v>0.35666666666666669</v>
      </c>
      <c r="T136" s="2">
        <v>0.29826666666666668</v>
      </c>
      <c r="U136" s="2">
        <v>0.22066666666666671</v>
      </c>
      <c r="V136" s="2">
        <v>0.58066666666666666</v>
      </c>
      <c r="W136" s="2">
        <v>0.33333333333333331</v>
      </c>
      <c r="X136" s="2">
        <v>5.6666666666666657E-2</v>
      </c>
    </row>
    <row r="137" spans="1:24" outlineLevel="2" x14ac:dyDescent="0.25">
      <c r="A137" s="1">
        <v>15690080</v>
      </c>
      <c r="B137" s="1" t="s">
        <v>41</v>
      </c>
      <c r="C137" s="1">
        <v>108155</v>
      </c>
      <c r="D137" s="1" t="s">
        <v>119</v>
      </c>
      <c r="E137" s="1">
        <v>241955</v>
      </c>
      <c r="F137" s="1" t="s">
        <v>248</v>
      </c>
      <c r="G137" s="4">
        <v>0.4737490196078431</v>
      </c>
      <c r="H137" s="2">
        <v>0.59666666666666668</v>
      </c>
      <c r="I137" s="2">
        <v>0.84</v>
      </c>
      <c r="J137" s="2">
        <v>0.69333333333333336</v>
      </c>
      <c r="K137" s="2">
        <v>0</v>
      </c>
      <c r="L137" s="2">
        <v>0.58666666666666667</v>
      </c>
      <c r="M137" s="2">
        <v>0.47666666666666668</v>
      </c>
      <c r="N137" s="2">
        <v>0.68333333333333335</v>
      </c>
      <c r="O137" s="2">
        <v>0.42666666666666669</v>
      </c>
      <c r="P137" s="2">
        <v>0.45</v>
      </c>
      <c r="Q137" s="2">
        <v>0.23666666666666669</v>
      </c>
      <c r="R137" s="2">
        <v>0.44773333333333332</v>
      </c>
      <c r="S137" s="2">
        <v>0.28000000000000003</v>
      </c>
      <c r="T137" s="2">
        <v>0.45200000000000001</v>
      </c>
      <c r="U137" s="2">
        <v>0.47333333333333327</v>
      </c>
      <c r="V137" s="2">
        <v>0.51759999999999995</v>
      </c>
      <c r="W137" s="2">
        <v>0.44426666666666659</v>
      </c>
      <c r="X137" s="2">
        <v>0.44879999999999998</v>
      </c>
    </row>
    <row r="138" spans="1:24" outlineLevel="2" x14ac:dyDescent="0.25">
      <c r="A138" s="1">
        <v>15690080</v>
      </c>
      <c r="B138" s="1" t="s">
        <v>41</v>
      </c>
      <c r="C138" s="1">
        <v>108155</v>
      </c>
      <c r="D138" s="1" t="s">
        <v>119</v>
      </c>
      <c r="E138" s="1">
        <v>249318</v>
      </c>
      <c r="F138" s="1" t="s">
        <v>264</v>
      </c>
      <c r="G138" s="4">
        <v>0.35502962962962958</v>
      </c>
      <c r="H138" s="2">
        <v>0.50159999999999993</v>
      </c>
      <c r="I138" s="2">
        <v>0.46093333333333342</v>
      </c>
      <c r="J138" s="2">
        <v>0.6757333333333333</v>
      </c>
      <c r="K138" s="2">
        <v>0.4194</v>
      </c>
      <c r="L138" s="2">
        <v>0.19666666666666671</v>
      </c>
      <c r="M138" s="2">
        <v>0.32333333333333331</v>
      </c>
      <c r="N138" s="2">
        <v>0.56333333333333335</v>
      </c>
      <c r="O138" s="2">
        <v>0.34</v>
      </c>
      <c r="P138" s="2">
        <v>0.2466666666666667</v>
      </c>
      <c r="Q138" s="2">
        <v>0.33333333333333331</v>
      </c>
      <c r="R138" s="2">
        <v>0.1333333333333333</v>
      </c>
      <c r="S138" s="2">
        <v>0.39666666666666672</v>
      </c>
      <c r="T138" s="2">
        <v>0.1084</v>
      </c>
      <c r="U138" s="2">
        <v>0.21560000000000001</v>
      </c>
      <c r="V138" s="2">
        <v>0.35506666666666659</v>
      </c>
      <c r="W138" s="2">
        <v>0.38453333333333328</v>
      </c>
      <c r="X138" s="2">
        <v>0.31653333333333328</v>
      </c>
    </row>
    <row r="139" spans="1:24" outlineLevel="2" x14ac:dyDescent="0.25">
      <c r="A139" s="1">
        <v>15690080</v>
      </c>
      <c r="B139" s="1" t="s">
        <v>41</v>
      </c>
      <c r="C139" s="1">
        <v>108163</v>
      </c>
      <c r="D139" s="1" t="s">
        <v>218</v>
      </c>
      <c r="E139" s="1">
        <v>149150</v>
      </c>
      <c r="F139" s="1" t="s">
        <v>219</v>
      </c>
      <c r="G139" s="4">
        <v>0.32975308641975309</v>
      </c>
      <c r="H139" s="2">
        <v>0.29333333333333328</v>
      </c>
      <c r="I139" s="2">
        <v>0.1466666666666667</v>
      </c>
      <c r="J139" s="2">
        <v>0.48333333333333328</v>
      </c>
      <c r="K139" s="2">
        <v>0.49333333333333329</v>
      </c>
      <c r="L139" s="2">
        <v>0.46666666666666667</v>
      </c>
      <c r="M139" s="2">
        <v>0.19</v>
      </c>
      <c r="N139" s="2">
        <v>0.39</v>
      </c>
      <c r="O139" s="2">
        <v>0.37333333333333341</v>
      </c>
      <c r="P139" s="2">
        <v>0.38333333333333341</v>
      </c>
      <c r="Q139" s="2">
        <v>0</v>
      </c>
      <c r="R139" s="2">
        <v>0.42</v>
      </c>
      <c r="S139" s="2">
        <v>6.6666666666666671E-3</v>
      </c>
      <c r="T139" s="2">
        <v>0.38333333333333341</v>
      </c>
      <c r="U139" s="2">
        <v>0.47</v>
      </c>
      <c r="V139" s="2">
        <v>0.2233333333333333</v>
      </c>
      <c r="W139" s="2">
        <v>0.45333333333333331</v>
      </c>
      <c r="X139" s="2">
        <v>0.22</v>
      </c>
    </row>
    <row r="140" spans="1:24" outlineLevel="2" x14ac:dyDescent="0.25">
      <c r="A140" s="1">
        <v>15690080</v>
      </c>
      <c r="B140" s="1" t="s">
        <v>41</v>
      </c>
      <c r="C140" s="1">
        <v>108163</v>
      </c>
      <c r="D140" s="1" t="s">
        <v>218</v>
      </c>
      <c r="E140" s="1">
        <v>146077</v>
      </c>
      <c r="F140" s="1" t="s">
        <v>260</v>
      </c>
      <c r="G140" s="4">
        <v>0.23080000000000001</v>
      </c>
      <c r="H140" s="2">
        <v>0.65333333333333332</v>
      </c>
      <c r="I140" s="2">
        <v>0.65</v>
      </c>
      <c r="J140" s="2">
        <v>0.72666666666666668</v>
      </c>
      <c r="K140" s="2">
        <v>0.37333333333333341</v>
      </c>
      <c r="L140" s="2">
        <v>0.51333333333333331</v>
      </c>
      <c r="M140" s="2">
        <v>0.34666666666666668</v>
      </c>
      <c r="N140" s="2">
        <v>3.6666666666666667E-2</v>
      </c>
      <c r="O140" s="2">
        <v>0</v>
      </c>
      <c r="P140" s="2">
        <v>0.19</v>
      </c>
      <c r="Q140" s="2">
        <v>0</v>
      </c>
      <c r="R140" s="2">
        <v>0</v>
      </c>
      <c r="S140" s="2">
        <v>0.12666666666666671</v>
      </c>
      <c r="T140" s="2">
        <v>0.1333333333333333</v>
      </c>
      <c r="U140" s="2">
        <v>0.30833333333333329</v>
      </c>
      <c r="V140" s="2">
        <v>0.2116666666666667</v>
      </c>
      <c r="W140" s="2">
        <v>0.11</v>
      </c>
      <c r="X140" s="2">
        <v>0.13666666666666669</v>
      </c>
    </row>
    <row r="141" spans="1:24" outlineLevel="2" x14ac:dyDescent="0.25">
      <c r="A141" s="1">
        <v>15690080</v>
      </c>
      <c r="B141" s="1" t="s">
        <v>41</v>
      </c>
      <c r="C141" s="1">
        <v>108172</v>
      </c>
      <c r="D141" s="1" t="s">
        <v>150</v>
      </c>
      <c r="E141" s="1">
        <v>247898</v>
      </c>
      <c r="F141" s="1" t="s">
        <v>151</v>
      </c>
      <c r="G141" s="4">
        <v>0.31010526315789472</v>
      </c>
      <c r="H141" s="2">
        <v>0.31333333333333341</v>
      </c>
      <c r="I141" s="2">
        <v>0.34</v>
      </c>
      <c r="J141" s="2">
        <v>0.20333333333333331</v>
      </c>
      <c r="K141" s="2">
        <v>0.45333333333333331</v>
      </c>
      <c r="L141" s="2">
        <v>0.32</v>
      </c>
      <c r="M141" s="2">
        <v>0.30666666666666659</v>
      </c>
      <c r="N141" s="2">
        <v>0.26666666666666672</v>
      </c>
      <c r="O141" s="2">
        <v>0.1933333333333333</v>
      </c>
      <c r="P141" s="2">
        <v>0.15333333333333329</v>
      </c>
      <c r="Q141" s="2">
        <v>0.28666666666666668</v>
      </c>
      <c r="R141" s="2">
        <v>0.1066666666666667</v>
      </c>
      <c r="S141" s="2">
        <v>0.32</v>
      </c>
      <c r="T141" s="2">
        <v>0.32</v>
      </c>
      <c r="U141" s="2">
        <v>0.36666666666666659</v>
      </c>
      <c r="V141" s="2">
        <v>0.5</v>
      </c>
      <c r="W141" s="2">
        <v>0.46666666666666667</v>
      </c>
      <c r="X141" s="2">
        <v>0.45200000000000001</v>
      </c>
    </row>
    <row r="142" spans="1:24" outlineLevel="2" x14ac:dyDescent="0.25">
      <c r="A142" s="1">
        <v>15690080</v>
      </c>
      <c r="B142" s="1" t="s">
        <v>41</v>
      </c>
      <c r="C142" s="1">
        <v>108172</v>
      </c>
      <c r="D142" s="1" t="s">
        <v>150</v>
      </c>
      <c r="E142" s="1">
        <v>158429</v>
      </c>
      <c r="F142" s="1" t="s">
        <v>180</v>
      </c>
      <c r="G142" s="4">
        <v>0.5367764705882353</v>
      </c>
      <c r="H142" s="2">
        <v>0.31333333333333341</v>
      </c>
      <c r="I142" s="2">
        <v>0.37786666666666668</v>
      </c>
      <c r="J142" s="2">
        <v>0.67893333333333339</v>
      </c>
      <c r="K142" s="2">
        <v>0.39106666666666662</v>
      </c>
      <c r="L142" s="2">
        <v>0.46</v>
      </c>
      <c r="M142" s="2">
        <v>0.61</v>
      </c>
      <c r="N142" s="2">
        <v>0.61333333333333329</v>
      </c>
      <c r="O142" s="2">
        <v>0.46960000000000002</v>
      </c>
      <c r="P142" s="2">
        <v>0.57999999999999996</v>
      </c>
      <c r="Q142" s="2">
        <v>0.28333333333333333</v>
      </c>
      <c r="R142" s="2">
        <v>0.59333333333333338</v>
      </c>
      <c r="S142" s="2">
        <v>0.51226666666666665</v>
      </c>
      <c r="T142" s="2">
        <v>0.50226666666666664</v>
      </c>
      <c r="U142" s="2">
        <v>0.64840000000000009</v>
      </c>
      <c r="V142" s="2">
        <v>0.6525333333333333</v>
      </c>
      <c r="W142" s="2">
        <v>0.64</v>
      </c>
      <c r="X142" s="2">
        <v>0.79893333333333338</v>
      </c>
    </row>
    <row r="143" spans="1:24" outlineLevel="2" x14ac:dyDescent="0.25">
      <c r="A143" s="1">
        <v>15690080</v>
      </c>
      <c r="B143" s="1" t="s">
        <v>41</v>
      </c>
      <c r="C143" s="1">
        <v>108600</v>
      </c>
      <c r="D143" s="1" t="s">
        <v>204</v>
      </c>
      <c r="E143" s="1">
        <v>216468</v>
      </c>
      <c r="F143" s="1" t="s">
        <v>205</v>
      </c>
      <c r="G143" s="4">
        <v>0.34366000000000002</v>
      </c>
      <c r="H143" s="2">
        <v>0.44</v>
      </c>
      <c r="I143" s="2">
        <v>0.13</v>
      </c>
      <c r="J143" s="2">
        <v>0.33113333333333328</v>
      </c>
      <c r="K143" s="2">
        <v>0.30046666666666672</v>
      </c>
      <c r="L143" s="2">
        <v>0.32166666666666671</v>
      </c>
      <c r="M143" s="2">
        <v>6.6666666666666671E-3</v>
      </c>
      <c r="N143" s="2">
        <v>0.1466666666666667</v>
      </c>
      <c r="O143" s="2">
        <v>0.24333333333333329</v>
      </c>
      <c r="P143" s="2">
        <v>0.16666666666666671</v>
      </c>
      <c r="Q143" s="2">
        <v>0.23666666666666669</v>
      </c>
      <c r="R143" s="2">
        <v>0.43333333333333329</v>
      </c>
      <c r="S143" s="2">
        <v>0.57333333333333336</v>
      </c>
      <c r="T143" s="2">
        <v>0.52</v>
      </c>
      <c r="U143" s="2">
        <v>0.51333333333333331</v>
      </c>
      <c r="V143" s="2">
        <v>0.52666666666666662</v>
      </c>
      <c r="W143" s="2">
        <v>0.50666666666666671</v>
      </c>
      <c r="X143" s="2">
        <v>0.52333333333333332</v>
      </c>
    </row>
    <row r="144" spans="1:24" outlineLevel="2" x14ac:dyDescent="0.25">
      <c r="A144" s="1">
        <v>15690080</v>
      </c>
      <c r="B144" s="1" t="s">
        <v>41</v>
      </c>
      <c r="C144" s="1">
        <v>108600</v>
      </c>
      <c r="D144" s="1" t="s">
        <v>204</v>
      </c>
      <c r="E144" s="1">
        <v>159420</v>
      </c>
      <c r="F144" s="1" t="s">
        <v>206</v>
      </c>
      <c r="G144" s="4">
        <v>0.43936296296296301</v>
      </c>
      <c r="H144" s="2">
        <v>0.4</v>
      </c>
      <c r="I144" s="2">
        <v>0.06</v>
      </c>
      <c r="J144" s="2">
        <v>0.45933333333333343</v>
      </c>
      <c r="K144" s="2">
        <v>0.56999999999999995</v>
      </c>
      <c r="L144" s="2">
        <v>0.32500000000000001</v>
      </c>
      <c r="M144" s="2">
        <v>0.22</v>
      </c>
      <c r="N144" s="2">
        <v>0.34333333333333332</v>
      </c>
      <c r="O144" s="2">
        <v>0.51333333333333331</v>
      </c>
      <c r="P144" s="2">
        <v>0.52666666666666662</v>
      </c>
      <c r="Q144" s="2">
        <v>0.26</v>
      </c>
      <c r="R144" s="2">
        <v>0.60960000000000003</v>
      </c>
      <c r="S144" s="2">
        <v>0.68333333333333335</v>
      </c>
      <c r="T144" s="2">
        <v>0.64666666666666661</v>
      </c>
      <c r="U144" s="2">
        <v>0.32666666666666672</v>
      </c>
      <c r="V144" s="2">
        <v>0.41293333333333332</v>
      </c>
      <c r="W144" s="2">
        <v>0.67</v>
      </c>
      <c r="X144" s="2">
        <v>0.55666666666666664</v>
      </c>
    </row>
    <row r="145" spans="1:24" outlineLevel="2" x14ac:dyDescent="0.25">
      <c r="A145" s="1">
        <v>15690080</v>
      </c>
      <c r="B145" s="1" t="s">
        <v>41</v>
      </c>
      <c r="C145" s="1">
        <v>108600</v>
      </c>
      <c r="D145" s="1" t="s">
        <v>204</v>
      </c>
      <c r="E145" s="1">
        <v>156913</v>
      </c>
      <c r="F145" s="1" t="s">
        <v>252</v>
      </c>
      <c r="G145" s="4">
        <v>0.52135555555555557</v>
      </c>
      <c r="H145" s="2">
        <v>0.70666666666666667</v>
      </c>
      <c r="I145" s="2">
        <v>0.69333333333333336</v>
      </c>
      <c r="J145" s="2">
        <v>0.2416666666666667</v>
      </c>
      <c r="K145" s="2">
        <v>0</v>
      </c>
      <c r="L145" s="2">
        <v>0.37333333333333341</v>
      </c>
      <c r="M145" s="2">
        <v>0.32333333333333331</v>
      </c>
      <c r="N145" s="2">
        <v>0.31333333333333341</v>
      </c>
      <c r="O145" s="2">
        <v>0.44</v>
      </c>
      <c r="P145" s="2">
        <v>0.32666666666666672</v>
      </c>
      <c r="Q145" s="2">
        <v>0.57999999999999996</v>
      </c>
      <c r="R145" s="2">
        <v>0.73</v>
      </c>
      <c r="S145" s="2">
        <v>0.22</v>
      </c>
      <c r="T145" s="2">
        <v>0.98666666666666669</v>
      </c>
      <c r="U145" s="2">
        <v>0.4877333333333333</v>
      </c>
      <c r="V145" s="2">
        <v>0.6</v>
      </c>
      <c r="W145" s="2">
        <v>0.87333333333333329</v>
      </c>
      <c r="X145" s="2">
        <v>1.246666666666667</v>
      </c>
    </row>
    <row r="146" spans="1:24" outlineLevel="1" x14ac:dyDescent="0.25">
      <c r="A146" s="7" t="str">
        <f>A145&amp;" - "&amp;B145</f>
        <v>15690080 - Sup Svc - Engineerg And Maint</v>
      </c>
      <c r="B146" s="7"/>
      <c r="C146" s="7"/>
      <c r="D146" s="7"/>
      <c r="E146" s="7"/>
      <c r="F146" s="7"/>
      <c r="G146" s="8">
        <f>SUBTOTAL(9,G129:G145)</f>
        <v>6.3306048730759361</v>
      </c>
      <c r="H146" s="8">
        <f>SUBTOTAL(9,H129:H145)</f>
        <v>6.6049333333333342</v>
      </c>
      <c r="I146" s="8">
        <f>SUBTOTAL(9,I129:I145)</f>
        <v>6.4187999999999992</v>
      </c>
      <c r="J146" s="8">
        <f>SUBTOTAL(9,J129:J145)</f>
        <v>7.1034666666666677</v>
      </c>
      <c r="K146" s="8">
        <f>SUBTOTAL(9,K129:K145)</f>
        <v>6.3109333333333328</v>
      </c>
      <c r="L146" s="8">
        <f>SUBTOTAL(9,L129:L145)</f>
        <v>6.3633333333333333</v>
      </c>
      <c r="M146" s="8">
        <f>SUBTOTAL(9,M129:M145)</f>
        <v>5.1866666666666665</v>
      </c>
      <c r="N146" s="8">
        <f>SUBTOTAL(9,N129:N145)</f>
        <v>6.0166666666666675</v>
      </c>
      <c r="O146" s="8">
        <f>SUBTOTAL(9,O129:O145)</f>
        <v>5.9262666666666668</v>
      </c>
      <c r="P146" s="8">
        <f>SUBTOTAL(9,P129:P145)</f>
        <v>5.6433333333333335</v>
      </c>
      <c r="Q146" s="8">
        <f>SUBTOTAL(9,Q129:Q145)</f>
        <v>4.5049999999999999</v>
      </c>
      <c r="R146" s="8">
        <f>SUBTOTAL(9,R129:R145)</f>
        <v>6.0640000000000001</v>
      </c>
      <c r="S146" s="8">
        <f>SUBTOTAL(9,S129:S145)</f>
        <v>5.6489333333333338</v>
      </c>
      <c r="T146" s="8">
        <f>SUBTOTAL(9,T129:T145)</f>
        <v>6.8971999999999998</v>
      </c>
      <c r="U146" s="8">
        <f>SUBTOTAL(9,U129:U145)</f>
        <v>6.8223333333333338</v>
      </c>
      <c r="V146" s="8">
        <f>SUBTOTAL(9,V129:V145)</f>
        <v>6.8632666666666653</v>
      </c>
      <c r="W146" s="8">
        <f>SUBTOTAL(9,W129:W145)</f>
        <v>7.4481333333333337</v>
      </c>
      <c r="X146" s="8">
        <f>SUBTOTAL(9,X129:X145)</f>
        <v>7.5021333333333331</v>
      </c>
    </row>
    <row r="147" spans="1:24" outlineLevel="2" x14ac:dyDescent="0.25">
      <c r="A147" s="1">
        <v>15691000</v>
      </c>
      <c r="B147" s="1" t="s">
        <v>38</v>
      </c>
      <c r="C147" s="1">
        <v>108120</v>
      </c>
      <c r="D147" s="1" t="s">
        <v>79</v>
      </c>
      <c r="E147" s="1">
        <v>440235</v>
      </c>
      <c r="F147" s="1" t="s">
        <v>80</v>
      </c>
      <c r="G147" s="4">
        <v>0.36497254901960791</v>
      </c>
      <c r="H147" s="2">
        <v>0.54666666666666663</v>
      </c>
      <c r="I147" s="2">
        <v>7.0000000000000007E-2</v>
      </c>
      <c r="J147" s="2">
        <v>0.28333333333333333</v>
      </c>
      <c r="K147" s="2">
        <v>9.6666666666666665E-2</v>
      </c>
      <c r="L147" s="2">
        <v>0.23333333333333331</v>
      </c>
      <c r="M147" s="2">
        <v>0.52</v>
      </c>
      <c r="N147" s="2">
        <v>0.41493333333333332</v>
      </c>
      <c r="O147" s="2">
        <v>0.41586666666666672</v>
      </c>
      <c r="P147" s="2">
        <v>0.44706666666666672</v>
      </c>
      <c r="Q147" s="2">
        <v>0.14000000000000001</v>
      </c>
      <c r="R147" s="2">
        <v>0.41333333333333327</v>
      </c>
      <c r="S147" s="2">
        <v>0.49</v>
      </c>
      <c r="T147" s="2">
        <v>0.58333333333333337</v>
      </c>
      <c r="U147" s="2">
        <v>0.36</v>
      </c>
      <c r="V147" s="2">
        <v>0.35</v>
      </c>
      <c r="W147" s="2">
        <v>0.40333333333333332</v>
      </c>
      <c r="X147" s="2">
        <v>0.43666666666666659</v>
      </c>
    </row>
    <row r="148" spans="1:24" outlineLevel="2" x14ac:dyDescent="0.25">
      <c r="A148" s="1">
        <v>15691000</v>
      </c>
      <c r="B148" s="1" t="s">
        <v>38</v>
      </c>
      <c r="C148" s="1">
        <v>108120</v>
      </c>
      <c r="D148" s="1" t="s">
        <v>79</v>
      </c>
      <c r="E148" s="1">
        <v>200514</v>
      </c>
      <c r="F148" s="1" t="s">
        <v>127</v>
      </c>
      <c r="G148" s="4">
        <v>0.4967607843137255</v>
      </c>
      <c r="H148" s="2">
        <v>0</v>
      </c>
      <c r="I148" s="2">
        <v>0.2166666666666667</v>
      </c>
      <c r="J148" s="2">
        <v>0.31666666666666671</v>
      </c>
      <c r="K148" s="2">
        <v>0.5</v>
      </c>
      <c r="L148" s="2">
        <v>0.76666666666666672</v>
      </c>
      <c r="M148" s="2">
        <v>0.2049333333333333</v>
      </c>
      <c r="N148" s="2">
        <v>0</v>
      </c>
      <c r="O148" s="2">
        <v>0.1</v>
      </c>
      <c r="P148" s="2">
        <v>0.59666666666666668</v>
      </c>
      <c r="Q148" s="2">
        <v>0.80106666666666659</v>
      </c>
      <c r="R148" s="2">
        <v>0.9734666666666667</v>
      </c>
      <c r="S148" s="2">
        <v>0.84893333333333332</v>
      </c>
      <c r="T148" s="2">
        <v>6.6666666666666666E-2</v>
      </c>
      <c r="U148" s="2">
        <v>0.76093333333333335</v>
      </c>
      <c r="V148" s="2">
        <v>0.77426666666666666</v>
      </c>
      <c r="W148" s="2">
        <v>0.80333333333333334</v>
      </c>
      <c r="X148" s="2">
        <v>0.71466666666666667</v>
      </c>
    </row>
    <row r="149" spans="1:24" outlineLevel="2" x14ac:dyDescent="0.25">
      <c r="A149" s="1">
        <v>15691000</v>
      </c>
      <c r="B149" s="1" t="s">
        <v>38</v>
      </c>
      <c r="C149" s="1">
        <v>108120</v>
      </c>
      <c r="D149" s="1" t="s">
        <v>79</v>
      </c>
      <c r="E149" s="1">
        <v>226885</v>
      </c>
      <c r="F149" s="1" t="s">
        <v>217</v>
      </c>
      <c r="G149" s="4">
        <v>0.71242352941176468</v>
      </c>
      <c r="H149" s="2">
        <v>1.01</v>
      </c>
      <c r="I149" s="2">
        <v>0.90666666666666662</v>
      </c>
      <c r="J149" s="2">
        <v>0.61</v>
      </c>
      <c r="K149" s="2">
        <v>0.42</v>
      </c>
      <c r="L149" s="2">
        <v>0</v>
      </c>
      <c r="M149" s="2">
        <v>1.131733333333333</v>
      </c>
      <c r="N149" s="2">
        <v>0.99506666666666665</v>
      </c>
      <c r="O149" s="2">
        <v>0.7553333333333333</v>
      </c>
      <c r="P149" s="2">
        <v>0.79666666666666663</v>
      </c>
      <c r="Q149" s="2">
        <v>1.1009333333333331</v>
      </c>
      <c r="R149" s="2">
        <v>1.0589333333333331</v>
      </c>
      <c r="S149" s="2">
        <v>0.82093333333333329</v>
      </c>
      <c r="T149" s="2">
        <v>1.0866666666666669</v>
      </c>
      <c r="U149" s="2">
        <v>0</v>
      </c>
      <c r="V149" s="2">
        <v>0</v>
      </c>
      <c r="W149" s="2">
        <v>0.32</v>
      </c>
      <c r="X149" s="2">
        <v>1.0982666666666669</v>
      </c>
    </row>
    <row r="150" spans="1:24" outlineLevel="2" x14ac:dyDescent="0.25">
      <c r="A150" s="1">
        <v>15691000</v>
      </c>
      <c r="B150" s="1" t="s">
        <v>38</v>
      </c>
      <c r="C150" s="1">
        <v>108120</v>
      </c>
      <c r="D150" s="1" t="s">
        <v>79</v>
      </c>
      <c r="E150" s="1">
        <v>229492</v>
      </c>
      <c r="F150" s="1" t="s">
        <v>226</v>
      </c>
      <c r="G150" s="4">
        <v>0.44273333333333342</v>
      </c>
      <c r="H150" s="2">
        <v>0.33</v>
      </c>
      <c r="I150" s="2">
        <v>0.73</v>
      </c>
      <c r="J150" s="2">
        <v>0.44666666666666671</v>
      </c>
      <c r="K150" s="2">
        <v>0.65666666666666662</v>
      </c>
      <c r="L150" s="2">
        <v>0.47333333333333327</v>
      </c>
      <c r="M150" s="2">
        <v>0.53</v>
      </c>
      <c r="N150" s="2">
        <v>0.45573333333333332</v>
      </c>
      <c r="O150" s="2">
        <v>0.29013333333333341</v>
      </c>
      <c r="P150" s="2">
        <v>0.39</v>
      </c>
      <c r="Q150" s="2">
        <v>0.27666666666666673</v>
      </c>
      <c r="R150" s="2">
        <v>0.91333333333333333</v>
      </c>
      <c r="S150" s="2">
        <v>0.37</v>
      </c>
      <c r="T150" s="2">
        <v>0.45333333333333331</v>
      </c>
      <c r="U150" s="2">
        <v>0.38333333333333341</v>
      </c>
      <c r="V150" s="2">
        <v>0.42333333333333328</v>
      </c>
      <c r="W150" s="2">
        <v>0.33333333333333331</v>
      </c>
      <c r="X150" s="2">
        <v>0.23666666666666669</v>
      </c>
    </row>
    <row r="151" spans="1:24" outlineLevel="2" x14ac:dyDescent="0.25">
      <c r="A151" s="1">
        <v>15691000</v>
      </c>
      <c r="B151" s="1" t="s">
        <v>38</v>
      </c>
      <c r="C151" s="1">
        <v>108133</v>
      </c>
      <c r="D151" s="1" t="s">
        <v>114</v>
      </c>
      <c r="E151" s="1">
        <v>544064</v>
      </c>
      <c r="F151" s="1" t="s">
        <v>115</v>
      </c>
      <c r="G151" s="4">
        <v>0.52044705882352948</v>
      </c>
      <c r="H151" s="2">
        <v>0.28666666666666668</v>
      </c>
      <c r="I151" s="2">
        <v>0.61</v>
      </c>
      <c r="J151" s="2">
        <v>0.27666666666666673</v>
      </c>
      <c r="K151" s="2">
        <v>0.27666666666666673</v>
      </c>
      <c r="L151" s="2">
        <v>0.42</v>
      </c>
      <c r="M151" s="2">
        <v>0.41373333333333329</v>
      </c>
      <c r="N151" s="2">
        <v>0.41306666666666669</v>
      </c>
      <c r="O151" s="2">
        <v>0.58520000000000005</v>
      </c>
      <c r="P151" s="2">
        <v>0.32333333333333331</v>
      </c>
      <c r="Q151" s="2">
        <v>0.76560000000000006</v>
      </c>
      <c r="R151" s="2">
        <v>0.86333333333333329</v>
      </c>
      <c r="S151" s="2">
        <v>0.54666666666666663</v>
      </c>
      <c r="T151" s="2">
        <v>0.41</v>
      </c>
      <c r="U151" s="2">
        <v>0.56000000000000005</v>
      </c>
      <c r="V151" s="2">
        <v>0.77</v>
      </c>
      <c r="W151" s="2">
        <v>0.68666666666666665</v>
      </c>
      <c r="X151" s="2">
        <v>0.64</v>
      </c>
    </row>
    <row r="152" spans="1:24" outlineLevel="2" x14ac:dyDescent="0.25">
      <c r="A152" s="1">
        <v>15691000</v>
      </c>
      <c r="B152" s="1" t="s">
        <v>38</v>
      </c>
      <c r="C152" s="1">
        <v>108135</v>
      </c>
      <c r="D152" s="1" t="s">
        <v>101</v>
      </c>
      <c r="E152" s="1">
        <v>156284</v>
      </c>
      <c r="F152" s="1" t="s">
        <v>102</v>
      </c>
      <c r="G152" s="4">
        <v>0.55196078431372553</v>
      </c>
      <c r="H152" s="2">
        <v>0.28666666666666668</v>
      </c>
      <c r="I152" s="2">
        <v>0.6</v>
      </c>
      <c r="J152" s="2">
        <v>0.57999999999999996</v>
      </c>
      <c r="K152" s="2">
        <v>0.68666666666666665</v>
      </c>
      <c r="L152" s="2">
        <v>0.71</v>
      </c>
      <c r="M152" s="2">
        <v>0.48666666666666669</v>
      </c>
      <c r="N152" s="2">
        <v>0.71</v>
      </c>
      <c r="O152" s="2">
        <v>0.48333333333333328</v>
      </c>
      <c r="P152" s="2">
        <v>0.71333333333333337</v>
      </c>
      <c r="Q152" s="2">
        <v>0.65666666666666662</v>
      </c>
      <c r="R152" s="2">
        <v>0.80333333333333334</v>
      </c>
      <c r="S152" s="2">
        <v>0.44333333333333341</v>
      </c>
      <c r="T152" s="2">
        <v>0.49</v>
      </c>
      <c r="U152" s="2">
        <v>0.25666666666666671</v>
      </c>
      <c r="V152" s="2">
        <v>0.62666666666666671</v>
      </c>
      <c r="W152" s="2">
        <v>0.37666666666666659</v>
      </c>
      <c r="X152" s="2">
        <v>0.47333333333333327</v>
      </c>
    </row>
    <row r="153" spans="1:24" outlineLevel="2" x14ac:dyDescent="0.25">
      <c r="A153" s="1">
        <v>15691000</v>
      </c>
      <c r="B153" s="1" t="s">
        <v>38</v>
      </c>
      <c r="C153" s="1">
        <v>108135</v>
      </c>
      <c r="D153" s="1" t="s">
        <v>101</v>
      </c>
      <c r="E153" s="1">
        <v>182724</v>
      </c>
      <c r="F153" s="1" t="s">
        <v>107</v>
      </c>
      <c r="G153" s="4">
        <v>0.68375686274509806</v>
      </c>
      <c r="H153" s="2">
        <v>0.6</v>
      </c>
      <c r="I153" s="2">
        <v>0.80666666666666664</v>
      </c>
      <c r="J153" s="2">
        <v>0.6166666666666667</v>
      </c>
      <c r="K153" s="2">
        <v>0.95333333333333337</v>
      </c>
      <c r="L153" s="2">
        <v>0.61333333333333329</v>
      </c>
      <c r="M153" s="2">
        <v>0.58693333333333342</v>
      </c>
      <c r="N153" s="2">
        <v>0.57999999999999996</v>
      </c>
      <c r="O153" s="2">
        <v>0.48333333333333328</v>
      </c>
      <c r="P153" s="2">
        <v>0.81666666666666665</v>
      </c>
      <c r="Q153" s="2">
        <v>0.59333333333333338</v>
      </c>
      <c r="R153" s="2">
        <v>0.55000000000000004</v>
      </c>
      <c r="S153" s="2">
        <v>0.7002666666666667</v>
      </c>
      <c r="T153" s="2">
        <v>0.75666666666666671</v>
      </c>
      <c r="U153" s="2">
        <v>0.64666666666666661</v>
      </c>
      <c r="V153" s="2">
        <v>0.64</v>
      </c>
      <c r="W153" s="2">
        <v>0.66666666666666663</v>
      </c>
      <c r="X153" s="2">
        <v>1.013333333333333</v>
      </c>
    </row>
    <row r="154" spans="1:24" outlineLevel="2" x14ac:dyDescent="0.25">
      <c r="A154" s="1">
        <v>15691000</v>
      </c>
      <c r="B154" s="1" t="s">
        <v>38</v>
      </c>
      <c r="C154" s="1">
        <v>108135</v>
      </c>
      <c r="D154" s="1" t="s">
        <v>101</v>
      </c>
      <c r="E154" s="1">
        <v>446168</v>
      </c>
      <c r="F154" s="1" t="s">
        <v>257</v>
      </c>
      <c r="G154" s="4">
        <v>0.27699733333333332</v>
      </c>
      <c r="H154" s="2">
        <v>0.42666666666666669</v>
      </c>
      <c r="I154" s="2">
        <v>0.46333333333333332</v>
      </c>
      <c r="J154" s="2">
        <v>0.25333333333333341</v>
      </c>
      <c r="K154" s="2">
        <v>0.6166666666666667</v>
      </c>
      <c r="L154" s="2">
        <v>0.5716</v>
      </c>
      <c r="M154" s="2">
        <v>0.52666666666666662</v>
      </c>
      <c r="N154" s="2">
        <v>0.23499999999999999</v>
      </c>
      <c r="O154" s="2">
        <v>0.15333333333333329</v>
      </c>
      <c r="P154" s="2">
        <v>0.28000000000000003</v>
      </c>
      <c r="Q154" s="2">
        <v>0.33</v>
      </c>
      <c r="R154" s="2">
        <v>0.05</v>
      </c>
      <c r="S154" s="2">
        <v>0.23</v>
      </c>
      <c r="T154" s="2">
        <v>0.1133333333333333</v>
      </c>
      <c r="U154" s="2">
        <v>0.26333333333333331</v>
      </c>
      <c r="V154" s="2">
        <v>3.6666666666666667E-2</v>
      </c>
      <c r="W154" s="2">
        <v>0.2283333333333333</v>
      </c>
      <c r="X154" s="2">
        <v>0.32333333333333331</v>
      </c>
    </row>
    <row r="155" spans="1:24" outlineLevel="2" x14ac:dyDescent="0.25">
      <c r="A155" s="1">
        <v>15691000</v>
      </c>
      <c r="B155" s="1" t="s">
        <v>38</v>
      </c>
      <c r="C155" s="1">
        <v>108135</v>
      </c>
      <c r="D155" s="1" t="s">
        <v>101</v>
      </c>
      <c r="E155" s="1">
        <v>456978</v>
      </c>
      <c r="F155" s="1" t="s">
        <v>263</v>
      </c>
      <c r="G155" s="4">
        <v>0.38294117647058817</v>
      </c>
      <c r="H155" s="2">
        <v>0.58333333333333337</v>
      </c>
      <c r="I155" s="2">
        <v>0.6333333333333333</v>
      </c>
      <c r="J155" s="2">
        <v>0.36666666666666659</v>
      </c>
      <c r="K155" s="2">
        <v>0.2466666666666667</v>
      </c>
      <c r="L155" s="2">
        <v>0.42333333333333328</v>
      </c>
      <c r="M155" s="2">
        <v>0.4</v>
      </c>
      <c r="N155" s="2">
        <v>0.22</v>
      </c>
      <c r="O155" s="2">
        <v>0.39</v>
      </c>
      <c r="P155" s="2">
        <v>0.41</v>
      </c>
      <c r="Q155" s="2">
        <v>0.42</v>
      </c>
      <c r="R155" s="2">
        <v>0.40666666666666668</v>
      </c>
      <c r="S155" s="2">
        <v>0.18</v>
      </c>
      <c r="T155" s="2">
        <v>0.39333333333333331</v>
      </c>
      <c r="U155" s="2">
        <v>0.08</v>
      </c>
      <c r="V155" s="2">
        <v>0.36666666666666659</v>
      </c>
      <c r="W155" s="2">
        <v>0.35</v>
      </c>
      <c r="X155" s="2">
        <v>0.64</v>
      </c>
    </row>
    <row r="156" spans="1:24" outlineLevel="2" x14ac:dyDescent="0.25">
      <c r="A156" s="1">
        <v>15691000</v>
      </c>
      <c r="B156" s="1" t="s">
        <v>38</v>
      </c>
      <c r="C156" s="1">
        <v>108142</v>
      </c>
      <c r="D156" s="1" t="s">
        <v>108</v>
      </c>
      <c r="E156" s="1">
        <v>404902</v>
      </c>
      <c r="F156" s="1" t="s">
        <v>109</v>
      </c>
      <c r="G156" s="4">
        <v>0.43745098039215691</v>
      </c>
      <c r="H156" s="2">
        <v>0</v>
      </c>
      <c r="I156" s="2">
        <v>0.24</v>
      </c>
      <c r="J156" s="2">
        <v>0.61333333333333329</v>
      </c>
      <c r="K156" s="2">
        <v>0.28000000000000003</v>
      </c>
      <c r="L156" s="2">
        <v>0.54</v>
      </c>
      <c r="M156" s="2">
        <v>0.65</v>
      </c>
      <c r="N156" s="2">
        <v>0.70333333333333337</v>
      </c>
      <c r="O156" s="2">
        <v>0.66</v>
      </c>
      <c r="P156" s="2">
        <v>0.44333333333333341</v>
      </c>
      <c r="Q156" s="2">
        <v>0.34</v>
      </c>
      <c r="R156" s="2">
        <v>0.71666666666666667</v>
      </c>
      <c r="S156" s="2">
        <v>0.78</v>
      </c>
      <c r="T156" s="2">
        <v>0.63</v>
      </c>
      <c r="U156" s="2">
        <v>0</v>
      </c>
      <c r="V156" s="2">
        <v>0.15</v>
      </c>
      <c r="W156" s="2">
        <v>0.69</v>
      </c>
      <c r="X156" s="2">
        <v>0</v>
      </c>
    </row>
    <row r="157" spans="1:24" outlineLevel="2" x14ac:dyDescent="0.25">
      <c r="A157" s="1">
        <v>15691000</v>
      </c>
      <c r="B157" s="1" t="s">
        <v>38</v>
      </c>
      <c r="C157" s="1">
        <v>108142</v>
      </c>
      <c r="D157" s="1" t="s">
        <v>108</v>
      </c>
      <c r="E157" s="1">
        <v>495389</v>
      </c>
      <c r="F157" s="1" t="s">
        <v>111</v>
      </c>
      <c r="G157" s="4">
        <v>0.54921568627450978</v>
      </c>
      <c r="H157" s="2">
        <v>0.79333333333333333</v>
      </c>
      <c r="I157" s="2">
        <v>0.39333333333333331</v>
      </c>
      <c r="J157" s="2">
        <v>0.60666666666666669</v>
      </c>
      <c r="K157" s="2">
        <v>0.37333333333333341</v>
      </c>
      <c r="L157" s="2">
        <v>0.45666666666666672</v>
      </c>
      <c r="M157" s="2">
        <v>0.61333333333333329</v>
      </c>
      <c r="N157" s="2">
        <v>0.69666666666666666</v>
      </c>
      <c r="O157" s="2">
        <v>0.91</v>
      </c>
      <c r="P157" s="2">
        <v>1.073333333333333</v>
      </c>
      <c r="Q157" s="2">
        <v>0.71333333333333337</v>
      </c>
      <c r="R157" s="2">
        <v>0.62666666666666671</v>
      </c>
      <c r="S157" s="2">
        <v>0.68</v>
      </c>
      <c r="T157" s="2">
        <v>0.60333333333333339</v>
      </c>
      <c r="U157" s="2">
        <v>0.50666666666666671</v>
      </c>
      <c r="V157" s="2">
        <v>0.28999999999999998</v>
      </c>
      <c r="W157" s="2">
        <v>0</v>
      </c>
      <c r="X157" s="2">
        <v>0</v>
      </c>
    </row>
    <row r="158" spans="1:24" outlineLevel="2" x14ac:dyDescent="0.25">
      <c r="A158" s="1">
        <v>15691000</v>
      </c>
      <c r="B158" s="1" t="s">
        <v>38</v>
      </c>
      <c r="C158" s="1">
        <v>108142</v>
      </c>
      <c r="D158" s="1" t="s">
        <v>108</v>
      </c>
      <c r="E158" s="1">
        <v>256751</v>
      </c>
      <c r="F158" s="1" t="s">
        <v>139</v>
      </c>
      <c r="G158" s="4">
        <v>0.43392156862745102</v>
      </c>
      <c r="H158" s="2">
        <v>0.61333333333333329</v>
      </c>
      <c r="I158" s="2">
        <v>0.24</v>
      </c>
      <c r="J158" s="2">
        <v>0.48666666666666669</v>
      </c>
      <c r="K158" s="2">
        <v>0.49666666666666659</v>
      </c>
      <c r="L158" s="2">
        <v>0.52</v>
      </c>
      <c r="M158" s="2">
        <v>0.3</v>
      </c>
      <c r="N158" s="2">
        <v>0.31333333333333341</v>
      </c>
      <c r="O158" s="2">
        <v>0.32</v>
      </c>
      <c r="P158" s="2">
        <v>0.32</v>
      </c>
      <c r="Q158" s="2">
        <v>0.46666666666666667</v>
      </c>
      <c r="R158" s="2">
        <v>0.35333333333333328</v>
      </c>
      <c r="S158" s="2">
        <v>0.49666666666666659</v>
      </c>
      <c r="T158" s="2">
        <v>0.5</v>
      </c>
      <c r="U158" s="2">
        <v>0.60666666666666669</v>
      </c>
      <c r="V158" s="2">
        <v>0.38666666666666671</v>
      </c>
      <c r="W158" s="2">
        <v>0.49333333333333329</v>
      </c>
      <c r="X158" s="2">
        <v>0.46333333333333332</v>
      </c>
    </row>
    <row r="159" spans="1:24" outlineLevel="2" x14ac:dyDescent="0.25">
      <c r="A159" s="1">
        <v>15691000</v>
      </c>
      <c r="B159" s="1" t="s">
        <v>38</v>
      </c>
      <c r="C159" s="1">
        <v>108142</v>
      </c>
      <c r="D159" s="1" t="s">
        <v>108</v>
      </c>
      <c r="E159" s="1">
        <v>394987</v>
      </c>
      <c r="F159" s="1" t="s">
        <v>173</v>
      </c>
      <c r="G159" s="4">
        <v>0.38980392156862748</v>
      </c>
      <c r="H159" s="2">
        <v>0.21333333333333329</v>
      </c>
      <c r="I159" s="2">
        <v>0.45666666666666672</v>
      </c>
      <c r="J159" s="2">
        <v>0.41333333333333327</v>
      </c>
      <c r="K159" s="2">
        <v>0.49</v>
      </c>
      <c r="L159" s="2">
        <v>0.31666666666666671</v>
      </c>
      <c r="M159" s="2">
        <v>0.35666666666666669</v>
      </c>
      <c r="N159" s="2">
        <v>0.21333333333333329</v>
      </c>
      <c r="O159" s="2">
        <v>0.42666666666666669</v>
      </c>
      <c r="P159" s="2">
        <v>0.40333333333333332</v>
      </c>
      <c r="Q159" s="2">
        <v>0.40333333333333332</v>
      </c>
      <c r="R159" s="2">
        <v>0.45</v>
      </c>
      <c r="S159" s="2">
        <v>0.22</v>
      </c>
      <c r="T159" s="2">
        <v>0.48333333333333328</v>
      </c>
      <c r="U159" s="2">
        <v>0.29333333333333328</v>
      </c>
      <c r="V159" s="2">
        <v>0.45</v>
      </c>
      <c r="W159" s="2">
        <v>0.61</v>
      </c>
      <c r="X159" s="2">
        <v>0.42666666666666669</v>
      </c>
    </row>
    <row r="160" spans="1:24" outlineLevel="2" x14ac:dyDescent="0.25">
      <c r="A160" s="1">
        <v>15691000</v>
      </c>
      <c r="B160" s="1" t="s">
        <v>38</v>
      </c>
      <c r="C160" s="1">
        <v>108142</v>
      </c>
      <c r="D160" s="1" t="s">
        <v>108</v>
      </c>
      <c r="E160" s="1">
        <v>498063</v>
      </c>
      <c r="F160" s="1" t="s">
        <v>216</v>
      </c>
      <c r="G160" s="4">
        <v>0.51490196078431372</v>
      </c>
      <c r="H160" s="2">
        <v>0.39333333333333331</v>
      </c>
      <c r="I160" s="2">
        <v>0.19666666666666671</v>
      </c>
      <c r="J160" s="2">
        <v>9.6666666666666665E-2</v>
      </c>
      <c r="K160" s="2">
        <v>7.3333333333333334E-2</v>
      </c>
      <c r="L160" s="2">
        <v>0.49666666666666659</v>
      </c>
      <c r="M160" s="2">
        <v>0.51666666666666672</v>
      </c>
      <c r="N160" s="2">
        <v>0.68</v>
      </c>
      <c r="O160" s="2">
        <v>0.88666666666666671</v>
      </c>
      <c r="P160" s="2">
        <v>0.7466666666666667</v>
      </c>
      <c r="Q160" s="2">
        <v>0.59</v>
      </c>
      <c r="R160" s="2">
        <v>0.6333333333333333</v>
      </c>
      <c r="S160" s="2">
        <v>0.36333333333333329</v>
      </c>
      <c r="T160" s="2">
        <v>0.27666666666666673</v>
      </c>
      <c r="U160" s="2">
        <v>0.54333333333333333</v>
      </c>
      <c r="V160" s="2">
        <v>0.56999999999999995</v>
      </c>
      <c r="W160" s="2">
        <v>0.68333333333333335</v>
      </c>
      <c r="X160" s="2">
        <v>1.006666666666667</v>
      </c>
    </row>
    <row r="161" spans="1:24" outlineLevel="2" x14ac:dyDescent="0.25">
      <c r="A161" s="1">
        <v>15691000</v>
      </c>
      <c r="B161" s="1" t="s">
        <v>38</v>
      </c>
      <c r="C161" s="1">
        <v>108142</v>
      </c>
      <c r="D161" s="1" t="s">
        <v>108</v>
      </c>
      <c r="E161" s="1">
        <v>199199</v>
      </c>
      <c r="F161" s="1" t="s">
        <v>267</v>
      </c>
      <c r="G161" s="4">
        <v>0.33686274509803921</v>
      </c>
      <c r="H161" s="2">
        <v>0.39666666666666672</v>
      </c>
      <c r="I161" s="2">
        <v>0.47666666666666668</v>
      </c>
      <c r="J161" s="2">
        <v>0.33</v>
      </c>
      <c r="K161" s="2">
        <v>0.53333333333333333</v>
      </c>
      <c r="L161" s="2">
        <v>0.48666666666666669</v>
      </c>
      <c r="M161" s="2">
        <v>0.45333333333333331</v>
      </c>
      <c r="N161" s="2">
        <v>0.39333333333333331</v>
      </c>
      <c r="O161" s="2">
        <v>0.4</v>
      </c>
      <c r="P161" s="2">
        <v>0.2</v>
      </c>
      <c r="Q161" s="2">
        <v>0.39666666666666672</v>
      </c>
      <c r="R161" s="2">
        <v>0.2466666666666667</v>
      </c>
      <c r="S161" s="2">
        <v>0.27666666666666673</v>
      </c>
      <c r="T161" s="2">
        <v>0.19666666666666671</v>
      </c>
      <c r="U161" s="2">
        <v>0.3</v>
      </c>
      <c r="V161" s="2">
        <v>0.34666666666666668</v>
      </c>
      <c r="W161" s="2">
        <v>0.29333333333333328</v>
      </c>
      <c r="X161" s="2">
        <v>0</v>
      </c>
    </row>
    <row r="162" spans="1:24" outlineLevel="2" x14ac:dyDescent="0.25">
      <c r="A162" s="1">
        <v>15691000</v>
      </c>
      <c r="B162" s="1" t="s">
        <v>38</v>
      </c>
      <c r="C162" s="1">
        <v>108148</v>
      </c>
      <c r="D162" s="1" t="s">
        <v>136</v>
      </c>
      <c r="E162" s="1">
        <v>247071</v>
      </c>
      <c r="F162" s="1" t="s">
        <v>137</v>
      </c>
      <c r="G162" s="4">
        <v>0.45678431372549022</v>
      </c>
      <c r="H162" s="2">
        <v>0.46</v>
      </c>
      <c r="I162" s="2">
        <v>0.44666666666666671</v>
      </c>
      <c r="J162" s="2">
        <v>0.32333333333333331</v>
      </c>
      <c r="K162" s="2">
        <v>0.60333333333333339</v>
      </c>
      <c r="L162" s="2">
        <v>0.46666666666666667</v>
      </c>
      <c r="M162" s="2">
        <v>0.45</v>
      </c>
      <c r="N162" s="2">
        <v>0.23333333333333331</v>
      </c>
      <c r="O162" s="2">
        <v>0.44</v>
      </c>
      <c r="P162" s="2">
        <v>0.03</v>
      </c>
      <c r="Q162" s="2">
        <v>0.66333333333333333</v>
      </c>
      <c r="R162" s="2">
        <v>0.06</v>
      </c>
      <c r="S162" s="2">
        <v>0.63666666666666671</v>
      </c>
      <c r="T162" s="2">
        <v>0.4453333333333333</v>
      </c>
      <c r="U162" s="2">
        <v>0.6166666666666667</v>
      </c>
      <c r="V162" s="2">
        <v>0.7466666666666667</v>
      </c>
      <c r="W162" s="2">
        <v>0.67</v>
      </c>
      <c r="X162" s="2">
        <v>0.47333333333333327</v>
      </c>
    </row>
    <row r="163" spans="1:24" outlineLevel="2" x14ac:dyDescent="0.25">
      <c r="A163" s="1">
        <v>15691000</v>
      </c>
      <c r="B163" s="1" t="s">
        <v>38</v>
      </c>
      <c r="C163" s="1">
        <v>108173</v>
      </c>
      <c r="D163" s="1" t="s">
        <v>39</v>
      </c>
      <c r="E163" s="1">
        <v>222562</v>
      </c>
      <c r="F163" s="1" t="s">
        <v>40</v>
      </c>
      <c r="G163" s="4">
        <v>0.52901960784313729</v>
      </c>
      <c r="H163" s="2">
        <v>0.22</v>
      </c>
      <c r="I163" s="2">
        <v>0.72666666666666668</v>
      </c>
      <c r="J163" s="2">
        <v>0.81333333333333335</v>
      </c>
      <c r="K163" s="2">
        <v>0.72333333333333338</v>
      </c>
      <c r="L163" s="2">
        <v>0.81</v>
      </c>
      <c r="M163" s="2">
        <v>0.82</v>
      </c>
      <c r="N163" s="2">
        <v>0.64666666666666661</v>
      </c>
      <c r="O163" s="2">
        <v>0.8</v>
      </c>
      <c r="P163" s="2">
        <v>0.33</v>
      </c>
      <c r="Q163" s="2">
        <v>0</v>
      </c>
      <c r="R163" s="2">
        <v>0</v>
      </c>
      <c r="S163" s="2">
        <v>0.52333333333333332</v>
      </c>
      <c r="T163" s="2">
        <v>0.46</v>
      </c>
      <c r="U163" s="2">
        <v>0.18333333333333329</v>
      </c>
      <c r="V163" s="2">
        <v>0.57333333333333336</v>
      </c>
      <c r="W163" s="2">
        <v>0.62666666666666671</v>
      </c>
      <c r="X163" s="2">
        <v>0.73666666666666669</v>
      </c>
    </row>
    <row r="164" spans="1:24" outlineLevel="2" x14ac:dyDescent="0.25">
      <c r="A164" s="1">
        <v>15691000</v>
      </c>
      <c r="B164" s="1" t="s">
        <v>38</v>
      </c>
      <c r="C164" s="1">
        <v>108173</v>
      </c>
      <c r="D164" s="1" t="s">
        <v>39</v>
      </c>
      <c r="E164" s="1">
        <v>503792</v>
      </c>
      <c r="F164" s="1" t="s">
        <v>167</v>
      </c>
      <c r="G164" s="4">
        <v>0.45156862745098042</v>
      </c>
      <c r="H164" s="2">
        <v>0.47</v>
      </c>
      <c r="I164" s="2">
        <v>0.38333333333333341</v>
      </c>
      <c r="J164" s="2">
        <v>0.41</v>
      </c>
      <c r="K164" s="2">
        <v>0.51666666666666672</v>
      </c>
      <c r="L164" s="2">
        <v>0.46333333333333332</v>
      </c>
      <c r="M164" s="2">
        <v>0.56333333333333335</v>
      </c>
      <c r="N164" s="2">
        <v>0.54</v>
      </c>
      <c r="O164" s="2">
        <v>0.52333333333333332</v>
      </c>
      <c r="P164" s="2">
        <v>0.45666666666666672</v>
      </c>
      <c r="Q164" s="2">
        <v>0.53666666666666663</v>
      </c>
      <c r="R164" s="2">
        <v>0.59333333333333338</v>
      </c>
      <c r="S164" s="2">
        <v>0.38</v>
      </c>
      <c r="T164" s="2">
        <v>0.37666666666666659</v>
      </c>
      <c r="U164" s="2">
        <v>0.34333333333333332</v>
      </c>
      <c r="V164" s="2">
        <v>0.23</v>
      </c>
      <c r="W164" s="2">
        <v>0.38333333333333341</v>
      </c>
      <c r="X164" s="2">
        <v>0.50666666666666671</v>
      </c>
    </row>
    <row r="165" spans="1:24" outlineLevel="1" x14ac:dyDescent="0.25">
      <c r="A165" s="7" t="str">
        <f>A164&amp;" - "&amp;B164</f>
        <v>15691000 - Sup Svc-Food and Nutrition</v>
      </c>
      <c r="B165" s="7"/>
      <c r="C165" s="7"/>
      <c r="D165" s="7"/>
      <c r="E165" s="7"/>
      <c r="F165" s="7"/>
      <c r="G165" s="8">
        <f>SUBTOTAL(9,G147:G164)</f>
        <v>8.5325228235294102</v>
      </c>
      <c r="H165" s="8">
        <f>SUBTOTAL(9,H147:H164)</f>
        <v>7.629999999999999</v>
      </c>
      <c r="I165" s="8">
        <f>SUBTOTAL(9,I147:I164)</f>
        <v>8.5966666666666676</v>
      </c>
      <c r="J165" s="8">
        <f>SUBTOTAL(9,J147:J164)</f>
        <v>7.8433333333333328</v>
      </c>
      <c r="K165" s="8">
        <f>SUBTOTAL(9,K147:K164)</f>
        <v>8.5433333333333348</v>
      </c>
      <c r="L165" s="8">
        <f>SUBTOTAL(9,L147:L164)</f>
        <v>8.7682666666666655</v>
      </c>
      <c r="M165" s="8">
        <f>SUBTOTAL(9,M147:M164)</f>
        <v>9.5239999999999991</v>
      </c>
      <c r="N165" s="8">
        <f>SUBTOTAL(9,N147:N164)</f>
        <v>8.4437999999999995</v>
      </c>
      <c r="O165" s="8">
        <f>SUBTOTAL(9,O147:O164)</f>
        <v>9.023200000000001</v>
      </c>
      <c r="P165" s="8">
        <f>SUBTOTAL(9,P147:P164)</f>
        <v>8.7770666666666681</v>
      </c>
      <c r="Q165" s="8">
        <f>SUBTOTAL(9,Q147:Q164)</f>
        <v>9.1942666666666675</v>
      </c>
      <c r="R165" s="8">
        <f>SUBTOTAL(9,R147:R164)</f>
        <v>9.7123999999999988</v>
      </c>
      <c r="S165" s="8">
        <f>SUBTOTAL(9,S147:S164)</f>
        <v>8.9868000000000006</v>
      </c>
      <c r="T165" s="8">
        <f>SUBTOTAL(9,T147:T164)</f>
        <v>8.325333333333333</v>
      </c>
      <c r="U165" s="8">
        <f>SUBTOTAL(9,U147:U164)</f>
        <v>6.7042666666666673</v>
      </c>
      <c r="V165" s="8">
        <f>SUBTOTAL(9,V147:V164)</f>
        <v>7.7309333333333345</v>
      </c>
      <c r="W165" s="8">
        <f>SUBTOTAL(9,W147:W164)</f>
        <v>8.6183333333333323</v>
      </c>
      <c r="X165" s="8">
        <f>SUBTOTAL(9,X147:X164)</f>
        <v>9.1895999999999987</v>
      </c>
    </row>
    <row r="166" spans="1:24" outlineLevel="2" x14ac:dyDescent="0.25">
      <c r="A166" s="1">
        <v>15693000</v>
      </c>
      <c r="B166" s="1" t="s">
        <v>182</v>
      </c>
      <c r="C166" s="1">
        <v>108179</v>
      </c>
      <c r="D166" s="1" t="s">
        <v>183</v>
      </c>
      <c r="E166" s="1">
        <v>180439</v>
      </c>
      <c r="F166" s="1" t="s">
        <v>184</v>
      </c>
      <c r="G166" s="4">
        <v>0.36549473684210532</v>
      </c>
      <c r="H166" s="2">
        <v>0</v>
      </c>
      <c r="I166" s="2">
        <v>0.16166666666666671</v>
      </c>
      <c r="J166" s="2">
        <v>0.34333333333333332</v>
      </c>
      <c r="K166" s="2">
        <v>0.25773333333333331</v>
      </c>
      <c r="L166" s="2">
        <v>0.33</v>
      </c>
      <c r="M166" s="2">
        <v>0.35666666666666669</v>
      </c>
      <c r="N166" s="2">
        <v>0.42666666666666669</v>
      </c>
      <c r="O166" s="2">
        <v>0.16</v>
      </c>
      <c r="P166" s="2">
        <v>0.23333333333333331</v>
      </c>
      <c r="Q166" s="2">
        <v>0.52333333333333332</v>
      </c>
      <c r="R166" s="2">
        <v>0.50666666666666671</v>
      </c>
      <c r="S166" s="2">
        <v>0.34</v>
      </c>
      <c r="T166" s="2">
        <v>0.38666666666666671</v>
      </c>
      <c r="U166" s="2">
        <v>0.28666666666666668</v>
      </c>
      <c r="V166" s="2">
        <v>0.85333333333333339</v>
      </c>
      <c r="W166" s="2">
        <v>0.86333333333333329</v>
      </c>
      <c r="X166" s="2">
        <v>0.46666666666666667</v>
      </c>
    </row>
    <row r="167" spans="1:24" outlineLevel="2" x14ac:dyDescent="0.25">
      <c r="A167" s="1">
        <v>15693000</v>
      </c>
      <c r="B167" s="1" t="s">
        <v>182</v>
      </c>
      <c r="C167" s="1">
        <v>108179</v>
      </c>
      <c r="D167" s="1" t="s">
        <v>183</v>
      </c>
      <c r="E167" s="1">
        <v>159176</v>
      </c>
      <c r="F167" s="1" t="s">
        <v>202</v>
      </c>
      <c r="G167" s="4">
        <v>0.66538518518518519</v>
      </c>
      <c r="H167" s="2">
        <v>0.98066666666666658</v>
      </c>
      <c r="I167" s="2">
        <v>0.91039999999999999</v>
      </c>
      <c r="J167" s="2">
        <v>1.087333333333333</v>
      </c>
      <c r="K167" s="2">
        <v>0.75239999999999996</v>
      </c>
      <c r="L167" s="2">
        <v>0.4705333333333333</v>
      </c>
      <c r="M167" s="2">
        <v>0.71706666666666663</v>
      </c>
      <c r="N167" s="2">
        <v>0.76666666666666672</v>
      </c>
      <c r="O167" s="2">
        <v>0.6956</v>
      </c>
      <c r="P167" s="2">
        <v>0.71</v>
      </c>
      <c r="Q167" s="2">
        <v>0.54333333333333333</v>
      </c>
      <c r="R167" s="2">
        <v>0.35333333333333328</v>
      </c>
      <c r="S167" s="2">
        <v>0.80333333333333334</v>
      </c>
      <c r="T167" s="2">
        <v>0.71</v>
      </c>
      <c r="U167" s="2">
        <v>0.62573333333333336</v>
      </c>
      <c r="V167" s="2">
        <v>0.19</v>
      </c>
      <c r="W167" s="2">
        <v>0.41666666666666669</v>
      </c>
      <c r="X167" s="2">
        <v>0.77333333333333332</v>
      </c>
    </row>
    <row r="168" spans="1:24" outlineLevel="2" x14ac:dyDescent="0.25">
      <c r="A168" s="1">
        <v>15693000</v>
      </c>
      <c r="B168" s="1" t="s">
        <v>182</v>
      </c>
      <c r="C168" s="1">
        <v>108179</v>
      </c>
      <c r="D168" s="1" t="s">
        <v>183</v>
      </c>
      <c r="E168" s="1">
        <v>235894</v>
      </c>
      <c r="F168" s="1" t="s">
        <v>249</v>
      </c>
      <c r="G168" s="4">
        <v>0.5808771929824561</v>
      </c>
      <c r="H168" s="2">
        <v>0.76666666666666672</v>
      </c>
      <c r="I168" s="2">
        <v>0.26166666666666671</v>
      </c>
      <c r="J168" s="2">
        <v>0.41333333333333327</v>
      </c>
      <c r="K168" s="2">
        <v>0.64333333333333331</v>
      </c>
      <c r="L168" s="2">
        <v>0.18</v>
      </c>
      <c r="M168" s="2">
        <v>0.65333333333333332</v>
      </c>
      <c r="N168" s="2">
        <v>0.21</v>
      </c>
      <c r="O168" s="2">
        <v>0.55000000000000004</v>
      </c>
      <c r="P168" s="2">
        <v>0.90333333333333332</v>
      </c>
      <c r="Q168" s="2">
        <v>0.71333333333333337</v>
      </c>
      <c r="R168" s="2">
        <v>0.6333333333333333</v>
      </c>
      <c r="S168" s="2">
        <v>0.62666666666666671</v>
      </c>
      <c r="T168" s="2">
        <v>0</v>
      </c>
      <c r="U168" s="2">
        <v>1.1366666666666669</v>
      </c>
      <c r="V168" s="2">
        <v>1.0166666666666671</v>
      </c>
      <c r="W168" s="2">
        <v>1.083333333333333</v>
      </c>
      <c r="X168" s="2">
        <v>0.80333333333333334</v>
      </c>
    </row>
    <row r="169" spans="1:24" outlineLevel="1" x14ac:dyDescent="0.25">
      <c r="A169" s="7" t="str">
        <f>A168&amp;" - "&amp;B168</f>
        <v>15693000 - Sup Svc-Laundry and Linen</v>
      </c>
      <c r="B169" s="7"/>
      <c r="C169" s="7"/>
      <c r="D169" s="7"/>
      <c r="E169" s="7"/>
      <c r="F169" s="7"/>
      <c r="G169" s="8">
        <f>SUBTOTAL(9,G166:G168)</f>
        <v>1.6117571150097467</v>
      </c>
      <c r="H169" s="8">
        <f>SUBTOTAL(9,H166:H168)</f>
        <v>1.7473333333333332</v>
      </c>
      <c r="I169" s="8">
        <f>SUBTOTAL(9,I166:I168)</f>
        <v>1.3337333333333334</v>
      </c>
      <c r="J169" s="8">
        <f>SUBTOTAL(9,J166:J168)</f>
        <v>1.8439999999999996</v>
      </c>
      <c r="K169" s="8">
        <f>SUBTOTAL(9,K166:K168)</f>
        <v>1.6534666666666666</v>
      </c>
      <c r="L169" s="8">
        <f>SUBTOTAL(9,L166:L168)</f>
        <v>0.98053333333333326</v>
      </c>
      <c r="M169" s="8">
        <f>SUBTOTAL(9,M166:M168)</f>
        <v>1.7270666666666665</v>
      </c>
      <c r="N169" s="8">
        <f>SUBTOTAL(9,N166:N168)</f>
        <v>1.4033333333333333</v>
      </c>
      <c r="O169" s="8">
        <f>SUBTOTAL(9,O166:O168)</f>
        <v>1.4056000000000002</v>
      </c>
      <c r="P169" s="8">
        <f>SUBTOTAL(9,P166:P168)</f>
        <v>1.8466666666666667</v>
      </c>
      <c r="Q169" s="8">
        <f>SUBTOTAL(9,Q166:Q168)</f>
        <v>1.78</v>
      </c>
      <c r="R169" s="8">
        <f>SUBTOTAL(9,R166:R168)</f>
        <v>1.4933333333333332</v>
      </c>
      <c r="S169" s="8">
        <f>SUBTOTAL(9,S166:S168)</f>
        <v>1.77</v>
      </c>
      <c r="T169" s="8">
        <f>SUBTOTAL(9,T166:T168)</f>
        <v>1.0966666666666667</v>
      </c>
      <c r="U169" s="8">
        <f>SUBTOTAL(9,U166:U168)</f>
        <v>2.049066666666667</v>
      </c>
      <c r="V169" s="8">
        <f>SUBTOTAL(9,V166:V168)</f>
        <v>2.0600000000000005</v>
      </c>
      <c r="W169" s="8">
        <f>SUBTOTAL(9,W166:W168)</f>
        <v>2.3633333333333333</v>
      </c>
      <c r="X169" s="8">
        <f>SUBTOTAL(9,X166:X168)</f>
        <v>2.0433333333333334</v>
      </c>
    </row>
    <row r="170" spans="1:24" outlineLevel="2" x14ac:dyDescent="0.25">
      <c r="A170" s="1">
        <v>15693010</v>
      </c>
      <c r="B170" s="1" t="s">
        <v>30</v>
      </c>
      <c r="C170" s="1">
        <v>108143</v>
      </c>
      <c r="D170" s="1" t="s">
        <v>31</v>
      </c>
      <c r="E170" s="1">
        <v>247901</v>
      </c>
      <c r="F170" s="1" t="s">
        <v>32</v>
      </c>
      <c r="G170" s="4">
        <v>0.70565185185185186</v>
      </c>
      <c r="H170" s="2">
        <v>0</v>
      </c>
      <c r="I170" s="2">
        <v>0.79</v>
      </c>
      <c r="J170" s="2">
        <v>0.88</v>
      </c>
      <c r="K170" s="2">
        <v>0.8</v>
      </c>
      <c r="L170" s="2">
        <v>0.38300000000000001</v>
      </c>
      <c r="M170" s="2">
        <v>0.79959999999999998</v>
      </c>
      <c r="N170" s="2">
        <v>0.77933333333333332</v>
      </c>
      <c r="O170" s="2">
        <v>0.78893333333333338</v>
      </c>
      <c r="P170" s="2">
        <v>0.6764</v>
      </c>
      <c r="Q170" s="2">
        <v>0.79666666666666663</v>
      </c>
      <c r="R170" s="2">
        <v>0.79959999999999998</v>
      </c>
      <c r="S170" s="2">
        <v>0.78959999999999997</v>
      </c>
      <c r="T170" s="2">
        <v>0.79226666666666667</v>
      </c>
      <c r="U170" s="2">
        <v>0.79333333333333333</v>
      </c>
      <c r="V170" s="2">
        <v>0.8</v>
      </c>
      <c r="W170" s="2">
        <v>0.8</v>
      </c>
      <c r="X170" s="2">
        <v>0.85</v>
      </c>
    </row>
    <row r="171" spans="1:24" outlineLevel="2" x14ac:dyDescent="0.25">
      <c r="A171" s="1">
        <v>15693010</v>
      </c>
      <c r="B171" s="1" t="s">
        <v>30</v>
      </c>
      <c r="C171" s="1">
        <v>108143</v>
      </c>
      <c r="D171" s="1" t="s">
        <v>31</v>
      </c>
      <c r="E171" s="1">
        <v>232208</v>
      </c>
      <c r="F171" s="1" t="s">
        <v>57</v>
      </c>
      <c r="G171" s="4">
        <v>0.40876296296296299</v>
      </c>
      <c r="H171" s="2">
        <v>0.26666666666666672</v>
      </c>
      <c r="I171" s="2">
        <v>0.47666666666666668</v>
      </c>
      <c r="J171" s="2">
        <v>0.50666666666666671</v>
      </c>
      <c r="K171" s="2">
        <v>0.5</v>
      </c>
      <c r="L171" s="2">
        <v>0.20333333333333331</v>
      </c>
      <c r="M171" s="2">
        <v>0.71333333333333337</v>
      </c>
      <c r="N171" s="2">
        <v>0.38666666666666671</v>
      </c>
      <c r="O171" s="2">
        <v>0.49666666666666659</v>
      </c>
      <c r="P171" s="2">
        <v>0.49333333333333329</v>
      </c>
      <c r="Q171" s="2">
        <v>0.39</v>
      </c>
      <c r="R171" s="2">
        <v>0.28333333333333333</v>
      </c>
      <c r="S171" s="2">
        <v>0.19666666666666671</v>
      </c>
      <c r="T171" s="2">
        <v>0.6810666666666666</v>
      </c>
      <c r="U171" s="2">
        <v>0.4</v>
      </c>
      <c r="V171" s="2">
        <v>0.47333333333333327</v>
      </c>
      <c r="W171" s="2">
        <v>0.4</v>
      </c>
      <c r="X171" s="2">
        <v>0.28666666666666668</v>
      </c>
    </row>
    <row r="172" spans="1:24" outlineLevel="2" x14ac:dyDescent="0.25">
      <c r="A172" s="1">
        <v>15693010</v>
      </c>
      <c r="B172" s="1" t="s">
        <v>30</v>
      </c>
      <c r="C172" s="1">
        <v>108143</v>
      </c>
      <c r="D172" s="1" t="s">
        <v>31</v>
      </c>
      <c r="E172" s="1">
        <v>542662</v>
      </c>
      <c r="F172" s="1" t="s">
        <v>61</v>
      </c>
      <c r="G172" s="4">
        <v>0.70237777777777777</v>
      </c>
      <c r="H172" s="2">
        <v>0.1</v>
      </c>
      <c r="I172" s="2">
        <v>0</v>
      </c>
      <c r="J172" s="2">
        <v>8.666666666666667E-2</v>
      </c>
      <c r="K172" s="2">
        <v>0.5</v>
      </c>
      <c r="L172" s="2">
        <v>0.39500000000000002</v>
      </c>
      <c r="M172" s="2">
        <v>1.0166666666666671</v>
      </c>
      <c r="N172" s="2">
        <v>0.81333333333333335</v>
      </c>
      <c r="O172" s="2">
        <v>0.90333333333333332</v>
      </c>
      <c r="P172" s="2">
        <v>0.99333333333333329</v>
      </c>
      <c r="Q172" s="2">
        <v>0.81666666666666665</v>
      </c>
      <c r="R172" s="2">
        <v>1.043066666666667</v>
      </c>
      <c r="S172" s="2">
        <v>0.93306666666666671</v>
      </c>
      <c r="T172" s="2">
        <v>0.92666666666666664</v>
      </c>
      <c r="U172" s="2">
        <v>0.89</v>
      </c>
      <c r="V172" s="2">
        <v>0.98666666666666669</v>
      </c>
      <c r="W172" s="2">
        <v>0.97666666666666668</v>
      </c>
      <c r="X172" s="2">
        <v>0.8666666666666667</v>
      </c>
    </row>
    <row r="173" spans="1:24" outlineLevel="2" x14ac:dyDescent="0.25">
      <c r="A173" s="1">
        <v>15693010</v>
      </c>
      <c r="B173" s="1" t="s">
        <v>30</v>
      </c>
      <c r="C173" s="1">
        <v>108143</v>
      </c>
      <c r="D173" s="1" t="s">
        <v>31</v>
      </c>
      <c r="E173" s="1">
        <v>533517</v>
      </c>
      <c r="F173" s="1" t="s">
        <v>62</v>
      </c>
      <c r="G173" s="4">
        <v>0.7218</v>
      </c>
      <c r="H173" s="2">
        <v>0.66666666666666663</v>
      </c>
      <c r="I173" s="2">
        <v>0.73666666666666669</v>
      </c>
      <c r="J173" s="2">
        <v>0.41893333333333338</v>
      </c>
      <c r="K173" s="2">
        <v>0.60333333333333339</v>
      </c>
      <c r="L173" s="2">
        <v>0.32653333333333329</v>
      </c>
      <c r="M173" s="2">
        <v>0.77</v>
      </c>
      <c r="N173" s="2">
        <v>0.94666666666666666</v>
      </c>
      <c r="O173" s="2">
        <v>0.90959999999999996</v>
      </c>
      <c r="P173" s="2">
        <v>0.81946666666666668</v>
      </c>
      <c r="Q173" s="2">
        <v>0.55333333333333334</v>
      </c>
      <c r="R173" s="2">
        <v>0.85253333333333325</v>
      </c>
      <c r="S173" s="2">
        <v>0.67266666666666675</v>
      </c>
      <c r="T173" s="2">
        <v>0.82613333333333339</v>
      </c>
      <c r="U173" s="2">
        <v>0.95666666666666667</v>
      </c>
      <c r="V173" s="2">
        <v>0.90333333333333332</v>
      </c>
      <c r="W173" s="2">
        <v>0.85333333333333339</v>
      </c>
      <c r="X173" s="2">
        <v>0.85</v>
      </c>
    </row>
    <row r="174" spans="1:24" outlineLevel="2" x14ac:dyDescent="0.25">
      <c r="A174" s="1">
        <v>15693010</v>
      </c>
      <c r="B174" s="1" t="s">
        <v>30</v>
      </c>
      <c r="C174" s="1">
        <v>108143</v>
      </c>
      <c r="D174" s="1" t="s">
        <v>31</v>
      </c>
      <c r="E174" s="1">
        <v>246133</v>
      </c>
      <c r="F174" s="1" t="s">
        <v>68</v>
      </c>
      <c r="G174" s="4">
        <v>0.53707407407407404</v>
      </c>
      <c r="H174" s="2">
        <v>0</v>
      </c>
      <c r="I174" s="2">
        <v>0.52333333333333332</v>
      </c>
      <c r="J174" s="2">
        <v>0.79520000000000002</v>
      </c>
      <c r="K174" s="2">
        <v>0.57333333333333336</v>
      </c>
      <c r="L174" s="2">
        <v>0.35220000000000001</v>
      </c>
      <c r="M174" s="2">
        <v>0.45546666666666658</v>
      </c>
      <c r="N174" s="2">
        <v>0.41666666666666669</v>
      </c>
      <c r="O174" s="2">
        <v>0.43666666666666659</v>
      </c>
      <c r="P174" s="2">
        <v>0.75666666666666671</v>
      </c>
      <c r="Q174" s="2">
        <v>0.78333333333333333</v>
      </c>
      <c r="R174" s="2">
        <v>0.76226666666666665</v>
      </c>
      <c r="S174" s="2">
        <v>0.47333333333333327</v>
      </c>
      <c r="T174" s="2">
        <v>1.01</v>
      </c>
      <c r="U174" s="2">
        <v>0.91</v>
      </c>
      <c r="V174" s="2">
        <v>0.34</v>
      </c>
      <c r="W174" s="2">
        <v>0.72666666666666668</v>
      </c>
      <c r="X174" s="2">
        <v>0</v>
      </c>
    </row>
    <row r="175" spans="1:24" outlineLevel="2" x14ac:dyDescent="0.25">
      <c r="A175" s="1">
        <v>15693010</v>
      </c>
      <c r="B175" s="1" t="s">
        <v>30</v>
      </c>
      <c r="C175" s="1">
        <v>108143</v>
      </c>
      <c r="D175" s="1" t="s">
        <v>31</v>
      </c>
      <c r="E175" s="1">
        <v>179281</v>
      </c>
      <c r="F175" s="1" t="s">
        <v>88</v>
      </c>
      <c r="G175" s="4">
        <v>0.48598518518518519</v>
      </c>
      <c r="H175" s="2">
        <v>0.65</v>
      </c>
      <c r="I175" s="2">
        <v>0.46333333333333332</v>
      </c>
      <c r="J175" s="2">
        <v>0.26106666666666672</v>
      </c>
      <c r="K175" s="2">
        <v>0.39333333333333331</v>
      </c>
      <c r="L175" s="2">
        <v>0.12333333333333329</v>
      </c>
      <c r="M175" s="2">
        <v>0.57333333333333336</v>
      </c>
      <c r="N175" s="2">
        <v>0.42666666666666669</v>
      </c>
      <c r="O175" s="2">
        <v>0.48333333333333328</v>
      </c>
      <c r="P175" s="2">
        <v>0.52333333333333332</v>
      </c>
      <c r="Q175" s="2">
        <v>0.64</v>
      </c>
      <c r="R175" s="2">
        <v>0.53</v>
      </c>
      <c r="S175" s="2">
        <v>0.68666666666666665</v>
      </c>
      <c r="T175" s="2">
        <v>0.58333333333333337</v>
      </c>
      <c r="U175" s="2">
        <v>0.55000000000000004</v>
      </c>
      <c r="V175" s="2">
        <v>0.37</v>
      </c>
      <c r="W175" s="2">
        <v>0.7466666666666667</v>
      </c>
      <c r="X175" s="2">
        <v>0.62</v>
      </c>
    </row>
    <row r="176" spans="1:24" outlineLevel="2" x14ac:dyDescent="0.25">
      <c r="A176" s="1">
        <v>15693010</v>
      </c>
      <c r="B176" s="1" t="s">
        <v>30</v>
      </c>
      <c r="C176" s="1">
        <v>108143</v>
      </c>
      <c r="D176" s="1" t="s">
        <v>31</v>
      </c>
      <c r="E176" s="1">
        <v>233205</v>
      </c>
      <c r="F176" s="1" t="s">
        <v>92</v>
      </c>
      <c r="G176" s="4">
        <v>0.40276078431372547</v>
      </c>
      <c r="H176" s="2">
        <v>0.64893333333333336</v>
      </c>
      <c r="I176" s="2">
        <v>0.91333333333333333</v>
      </c>
      <c r="J176" s="2">
        <v>0.11</v>
      </c>
      <c r="K176" s="2">
        <v>0.1033333333333333</v>
      </c>
      <c r="L176" s="2">
        <v>0.40333333333333332</v>
      </c>
      <c r="M176" s="2">
        <v>0.1</v>
      </c>
      <c r="N176" s="2">
        <v>0.4694666666666667</v>
      </c>
      <c r="O176" s="2">
        <v>0.56613333333333338</v>
      </c>
      <c r="P176" s="2">
        <v>0.40239999999999998</v>
      </c>
      <c r="Q176" s="2">
        <v>0.46666666666666667</v>
      </c>
      <c r="R176" s="2">
        <v>0.37</v>
      </c>
      <c r="S176" s="2">
        <v>0.33333333333333331</v>
      </c>
      <c r="T176" s="2">
        <v>0.46666666666666667</v>
      </c>
      <c r="U176" s="2">
        <v>0.1</v>
      </c>
      <c r="V176" s="2">
        <v>0.26666666666666672</v>
      </c>
      <c r="W176" s="2">
        <v>0.56333333333333335</v>
      </c>
      <c r="X176" s="2">
        <v>0.56333333333333335</v>
      </c>
    </row>
    <row r="177" spans="1:24" outlineLevel="2" x14ac:dyDescent="0.25">
      <c r="A177" s="1">
        <v>15693010</v>
      </c>
      <c r="B177" s="1" t="s">
        <v>30</v>
      </c>
      <c r="C177" s="1">
        <v>108143</v>
      </c>
      <c r="D177" s="1" t="s">
        <v>31</v>
      </c>
      <c r="E177" s="1">
        <v>165821</v>
      </c>
      <c r="F177" s="1" t="s">
        <v>93</v>
      </c>
      <c r="G177" s="4">
        <v>0.3360078431372549</v>
      </c>
      <c r="H177" s="2">
        <v>0.4</v>
      </c>
      <c r="I177" s="2">
        <v>0.3</v>
      </c>
      <c r="J177" s="2">
        <v>0.39306666666666668</v>
      </c>
      <c r="K177" s="2">
        <v>0.29666666666666669</v>
      </c>
      <c r="L177" s="2">
        <v>0</v>
      </c>
      <c r="M177" s="2">
        <v>0.40306666666666668</v>
      </c>
      <c r="N177" s="2">
        <v>0.39946666666666669</v>
      </c>
      <c r="O177" s="2">
        <v>0.4</v>
      </c>
      <c r="P177" s="2">
        <v>0.38586666666666669</v>
      </c>
      <c r="Q177" s="2">
        <v>0.50093333333333334</v>
      </c>
      <c r="R177" s="2">
        <v>0.30666666666666659</v>
      </c>
      <c r="S177" s="2">
        <v>0.40639999999999998</v>
      </c>
      <c r="T177" s="2">
        <v>0.40333333333333332</v>
      </c>
      <c r="U177" s="2">
        <v>0.2</v>
      </c>
      <c r="V177" s="2">
        <v>0.30666666666666659</v>
      </c>
      <c r="W177" s="2">
        <v>0.30666666666666659</v>
      </c>
      <c r="X177" s="2">
        <v>0.30333333333333329</v>
      </c>
    </row>
    <row r="178" spans="1:24" outlineLevel="2" x14ac:dyDescent="0.25">
      <c r="A178" s="1">
        <v>15693010</v>
      </c>
      <c r="B178" s="1" t="s">
        <v>30</v>
      </c>
      <c r="C178" s="1">
        <v>108143</v>
      </c>
      <c r="D178" s="1" t="s">
        <v>31</v>
      </c>
      <c r="E178" s="1">
        <v>157296</v>
      </c>
      <c r="F178" s="1" t="s">
        <v>122</v>
      </c>
      <c r="G178" s="4">
        <v>0.36392156862745101</v>
      </c>
      <c r="H178" s="2">
        <v>0.1</v>
      </c>
      <c r="I178" s="2">
        <v>0.35</v>
      </c>
      <c r="J178" s="2">
        <v>0.1633333333333333</v>
      </c>
      <c r="K178" s="2">
        <v>0.35666666666666669</v>
      </c>
      <c r="L178" s="2">
        <v>0.36333333333333329</v>
      </c>
      <c r="M178" s="2">
        <v>0.52666666666666662</v>
      </c>
      <c r="N178" s="2">
        <v>0.31333333333333341</v>
      </c>
      <c r="O178" s="2">
        <v>0.25666666666666671</v>
      </c>
      <c r="P178" s="2">
        <v>0.52</v>
      </c>
      <c r="Q178" s="2">
        <v>0.32</v>
      </c>
      <c r="R178" s="2">
        <v>0.56000000000000005</v>
      </c>
      <c r="S178" s="2">
        <v>0.42666666666666669</v>
      </c>
      <c r="T178" s="2">
        <v>0.42</v>
      </c>
      <c r="U178" s="2">
        <v>5.3333333333333337E-2</v>
      </c>
      <c r="V178" s="2">
        <v>0.62</v>
      </c>
      <c r="W178" s="2">
        <v>0.28666666666666668</v>
      </c>
      <c r="X178" s="2">
        <v>0.55000000000000004</v>
      </c>
    </row>
    <row r="179" spans="1:24" outlineLevel="2" x14ac:dyDescent="0.25">
      <c r="A179" s="1">
        <v>15693010</v>
      </c>
      <c r="B179" s="1" t="s">
        <v>30</v>
      </c>
      <c r="C179" s="1">
        <v>108143</v>
      </c>
      <c r="D179" s="1" t="s">
        <v>31</v>
      </c>
      <c r="E179" s="1">
        <v>638075</v>
      </c>
      <c r="F179" s="1" t="s">
        <v>131</v>
      </c>
      <c r="G179" s="4">
        <v>0.63009696969696971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0.1066666666666667</v>
      </c>
      <c r="O179" s="2">
        <v>0.22666666666666671</v>
      </c>
      <c r="P179" s="2">
        <v>0.55666666666666664</v>
      </c>
      <c r="Q179" s="2">
        <v>0.48</v>
      </c>
      <c r="R179" s="2">
        <v>0.55106666666666659</v>
      </c>
      <c r="S179" s="2">
        <v>0.61</v>
      </c>
      <c r="T179" s="2">
        <v>0.62</v>
      </c>
      <c r="U179" s="2">
        <v>0.77</v>
      </c>
      <c r="V179" s="2">
        <v>0.92333333333333334</v>
      </c>
      <c r="W179" s="2">
        <v>1.1333333333333331</v>
      </c>
      <c r="X179" s="2">
        <v>0.95333333333333337</v>
      </c>
    </row>
    <row r="180" spans="1:24" outlineLevel="2" x14ac:dyDescent="0.25">
      <c r="A180" s="1">
        <v>15693010</v>
      </c>
      <c r="B180" s="1" t="s">
        <v>30</v>
      </c>
      <c r="C180" s="1">
        <v>108143</v>
      </c>
      <c r="D180" s="1" t="s">
        <v>31</v>
      </c>
      <c r="E180" s="1">
        <v>522323</v>
      </c>
      <c r="F180" s="1" t="s">
        <v>148</v>
      </c>
      <c r="G180" s="4">
        <v>0.39199166666666668</v>
      </c>
      <c r="H180" s="2">
        <v>0.28773333333333329</v>
      </c>
      <c r="I180" s="2">
        <v>0.27106666666666662</v>
      </c>
      <c r="J180" s="2">
        <v>0.47666666666666668</v>
      </c>
      <c r="K180" s="2">
        <v>0.30333333333333329</v>
      </c>
      <c r="L180" s="2">
        <v>0.65786666666666671</v>
      </c>
      <c r="M180" s="2">
        <v>0.48080000000000001</v>
      </c>
      <c r="N180" s="2">
        <v>0.55333333333333334</v>
      </c>
      <c r="O180" s="2">
        <v>5.3333333333333337E-2</v>
      </c>
      <c r="P180" s="2">
        <v>0.30666666666666659</v>
      </c>
      <c r="Q180" s="2">
        <v>0.45333333333333331</v>
      </c>
      <c r="R180" s="2">
        <v>0.34773333333333328</v>
      </c>
      <c r="S180" s="2">
        <v>0.59</v>
      </c>
      <c r="T180" s="2">
        <v>0.36</v>
      </c>
      <c r="U180" s="2">
        <v>0.56000000000000005</v>
      </c>
      <c r="V180" s="2">
        <v>0.41333333333333327</v>
      </c>
      <c r="W180" s="2">
        <v>0.1566666666666667</v>
      </c>
      <c r="X180" s="2">
        <v>0</v>
      </c>
    </row>
    <row r="181" spans="1:24" outlineLevel="2" x14ac:dyDescent="0.25">
      <c r="A181" s="1">
        <v>15693010</v>
      </c>
      <c r="B181" s="1" t="s">
        <v>30</v>
      </c>
      <c r="C181" s="1">
        <v>108143</v>
      </c>
      <c r="D181" s="1" t="s">
        <v>31</v>
      </c>
      <c r="E181" s="1">
        <v>113974</v>
      </c>
      <c r="F181" s="1" t="s">
        <v>156</v>
      </c>
      <c r="G181" s="4">
        <v>0.74862745098039218</v>
      </c>
      <c r="H181" s="2">
        <v>0.80666666666666664</v>
      </c>
      <c r="I181" s="2">
        <v>0.89333333333333331</v>
      </c>
      <c r="J181" s="2">
        <v>0.91</v>
      </c>
      <c r="K181" s="2">
        <v>0.89333333333333331</v>
      </c>
      <c r="L181" s="2">
        <v>0.50666666666666671</v>
      </c>
      <c r="M181" s="2">
        <v>0.5</v>
      </c>
      <c r="N181" s="2">
        <v>0.20666666666666669</v>
      </c>
      <c r="O181" s="2">
        <v>0.8</v>
      </c>
      <c r="P181" s="2">
        <v>0.80333333333333334</v>
      </c>
      <c r="Q181" s="2">
        <v>0.8</v>
      </c>
      <c r="R181" s="2">
        <v>0.8</v>
      </c>
      <c r="S181" s="2">
        <v>0.8</v>
      </c>
      <c r="T181" s="2">
        <v>0.8</v>
      </c>
      <c r="U181" s="2">
        <v>0.8</v>
      </c>
      <c r="V181" s="2">
        <v>0.8</v>
      </c>
      <c r="W181" s="2">
        <v>0.9</v>
      </c>
      <c r="X181" s="2">
        <v>0.70666666666666667</v>
      </c>
    </row>
    <row r="182" spans="1:24" outlineLevel="2" x14ac:dyDescent="0.25">
      <c r="A182" s="1">
        <v>15693010</v>
      </c>
      <c r="B182" s="1" t="s">
        <v>30</v>
      </c>
      <c r="C182" s="1">
        <v>108143</v>
      </c>
      <c r="D182" s="1" t="s">
        <v>31</v>
      </c>
      <c r="E182" s="1">
        <v>225143</v>
      </c>
      <c r="F182" s="1" t="s">
        <v>169</v>
      </c>
      <c r="G182" s="4">
        <v>0.58352941176470585</v>
      </c>
      <c r="H182" s="2">
        <v>0.26</v>
      </c>
      <c r="I182" s="2">
        <v>0.36333333333333329</v>
      </c>
      <c r="J182" s="2">
        <v>0.46666666666666667</v>
      </c>
      <c r="K182" s="2">
        <v>0.45</v>
      </c>
      <c r="L182" s="2">
        <v>0.15</v>
      </c>
      <c r="M182" s="2">
        <v>0.34666666666666668</v>
      </c>
      <c r="N182" s="2">
        <v>0.48</v>
      </c>
      <c r="O182" s="2">
        <v>0.48666666666666669</v>
      </c>
      <c r="P182" s="2">
        <v>0.84560000000000002</v>
      </c>
      <c r="Q182" s="2">
        <v>0.77</v>
      </c>
      <c r="R182" s="2">
        <v>0.9244</v>
      </c>
      <c r="S182" s="2">
        <v>0.67</v>
      </c>
      <c r="T182" s="2">
        <v>0.74</v>
      </c>
      <c r="U182" s="2">
        <v>0.72333333333333338</v>
      </c>
      <c r="V182" s="2">
        <v>0.45</v>
      </c>
      <c r="W182" s="2">
        <v>0.8666666666666667</v>
      </c>
      <c r="X182" s="2">
        <v>0.92666666666666664</v>
      </c>
    </row>
    <row r="183" spans="1:24" outlineLevel="2" x14ac:dyDescent="0.25">
      <c r="A183" s="1">
        <v>15693010</v>
      </c>
      <c r="B183" s="1" t="s">
        <v>30</v>
      </c>
      <c r="C183" s="1">
        <v>108143</v>
      </c>
      <c r="D183" s="1" t="s">
        <v>31</v>
      </c>
      <c r="E183" s="1">
        <v>245063</v>
      </c>
      <c r="F183" s="1" t="s">
        <v>174</v>
      </c>
      <c r="G183" s="4">
        <v>0.42392156862745101</v>
      </c>
      <c r="H183" s="2">
        <v>0.31666666666666671</v>
      </c>
      <c r="I183" s="2">
        <v>0.41666666666666669</v>
      </c>
      <c r="J183" s="2">
        <v>0.68</v>
      </c>
      <c r="K183" s="2">
        <v>0.44</v>
      </c>
      <c r="L183" s="2">
        <v>0.28999999999999998</v>
      </c>
      <c r="M183" s="2">
        <v>0.54333333333333333</v>
      </c>
      <c r="N183" s="2">
        <v>0.54333333333333333</v>
      </c>
      <c r="O183" s="2">
        <v>0.48</v>
      </c>
      <c r="P183" s="2">
        <v>0.54333333333333333</v>
      </c>
      <c r="Q183" s="2">
        <v>0.28999999999999998</v>
      </c>
      <c r="R183" s="2">
        <v>0.19</v>
      </c>
      <c r="S183" s="2">
        <v>6.3333333333333339E-2</v>
      </c>
      <c r="T183" s="2">
        <v>0.51666666666666672</v>
      </c>
      <c r="U183" s="2">
        <v>0.56000000000000005</v>
      </c>
      <c r="V183" s="2">
        <v>0.64333333333333331</v>
      </c>
      <c r="W183" s="2">
        <v>0.1166666666666667</v>
      </c>
      <c r="X183" s="2">
        <v>0.57333333333333336</v>
      </c>
    </row>
    <row r="184" spans="1:24" outlineLevel="2" x14ac:dyDescent="0.25">
      <c r="A184" s="1">
        <v>15693010</v>
      </c>
      <c r="B184" s="1" t="s">
        <v>30</v>
      </c>
      <c r="C184" s="1">
        <v>108143</v>
      </c>
      <c r="D184" s="1" t="s">
        <v>31</v>
      </c>
      <c r="E184" s="1">
        <v>159821</v>
      </c>
      <c r="F184" s="1" t="s">
        <v>175</v>
      </c>
      <c r="G184" s="4">
        <v>0.41719166666666668</v>
      </c>
      <c r="H184" s="2">
        <v>0.37333333333333341</v>
      </c>
      <c r="I184" s="2">
        <v>0.59</v>
      </c>
      <c r="J184" s="2">
        <v>0.65</v>
      </c>
      <c r="K184" s="2">
        <v>0</v>
      </c>
      <c r="L184" s="2">
        <v>0.37333333333333341</v>
      </c>
      <c r="M184" s="2">
        <v>0.61333333333333329</v>
      </c>
      <c r="N184" s="2">
        <v>0.52946666666666664</v>
      </c>
      <c r="O184" s="2">
        <v>0.46</v>
      </c>
      <c r="P184" s="2">
        <v>0.48226666666666668</v>
      </c>
      <c r="Q184" s="2">
        <v>0.26666666666666672</v>
      </c>
      <c r="R184" s="2">
        <v>0.28666666666666668</v>
      </c>
      <c r="S184" s="2">
        <v>0.55333333333333334</v>
      </c>
      <c r="T184" s="2">
        <v>0.39333333333333331</v>
      </c>
      <c r="U184" s="2">
        <v>2.6666666666666668E-2</v>
      </c>
      <c r="V184" s="2">
        <v>0.36333333333333329</v>
      </c>
      <c r="W184" s="2">
        <v>0.24</v>
      </c>
      <c r="X184" s="2">
        <v>0.47333333333333327</v>
      </c>
    </row>
    <row r="185" spans="1:24" outlineLevel="2" x14ac:dyDescent="0.25">
      <c r="A185" s="1">
        <v>15693010</v>
      </c>
      <c r="B185" s="1" t="s">
        <v>30</v>
      </c>
      <c r="C185" s="1">
        <v>108143</v>
      </c>
      <c r="D185" s="1" t="s">
        <v>31</v>
      </c>
      <c r="E185" s="1">
        <v>183618</v>
      </c>
      <c r="F185" s="1" t="s">
        <v>176</v>
      </c>
      <c r="G185" s="4">
        <v>0.57732549019607848</v>
      </c>
      <c r="H185" s="2">
        <v>0.65786666666666671</v>
      </c>
      <c r="I185" s="2">
        <v>0.66</v>
      </c>
      <c r="J185" s="2">
        <v>0.56666666666666665</v>
      </c>
      <c r="K185" s="2">
        <v>0.7533333333333333</v>
      </c>
      <c r="L185" s="2">
        <v>0.55333333333333334</v>
      </c>
      <c r="M185" s="2">
        <v>0.38666666666666671</v>
      </c>
      <c r="N185" s="2">
        <v>0.28666666666666668</v>
      </c>
      <c r="O185" s="2">
        <v>0.61333333333333329</v>
      </c>
      <c r="P185" s="2">
        <v>0.56666666666666665</v>
      </c>
      <c r="Q185" s="2">
        <v>0.66333333333333333</v>
      </c>
      <c r="R185" s="2">
        <v>0.6333333333333333</v>
      </c>
      <c r="S185" s="2">
        <v>0.62</v>
      </c>
      <c r="T185" s="2">
        <v>0.49333333333333329</v>
      </c>
      <c r="U185" s="2">
        <v>0.56000000000000005</v>
      </c>
      <c r="V185" s="2">
        <v>0.81333333333333335</v>
      </c>
      <c r="W185" s="2">
        <v>0.72</v>
      </c>
      <c r="X185" s="2">
        <v>0.26666666666666672</v>
      </c>
    </row>
    <row r="186" spans="1:24" outlineLevel="2" x14ac:dyDescent="0.25">
      <c r="A186" s="1">
        <v>15693010</v>
      </c>
      <c r="B186" s="1" t="s">
        <v>30</v>
      </c>
      <c r="C186" s="1">
        <v>108143</v>
      </c>
      <c r="D186" s="1" t="s">
        <v>31</v>
      </c>
      <c r="E186" s="1">
        <v>245047</v>
      </c>
      <c r="F186" s="1" t="s">
        <v>187</v>
      </c>
      <c r="G186" s="4">
        <v>0.48147450980392159</v>
      </c>
      <c r="H186" s="2">
        <v>0.56879999999999997</v>
      </c>
      <c r="I186" s="2">
        <v>0.66666666666666663</v>
      </c>
      <c r="J186" s="2">
        <v>0.34560000000000002</v>
      </c>
      <c r="K186" s="2">
        <v>0.47493333333333332</v>
      </c>
      <c r="L186" s="2">
        <v>0.27866666666666667</v>
      </c>
      <c r="M186" s="2">
        <v>0.95</v>
      </c>
      <c r="N186" s="2">
        <v>0.53506666666666669</v>
      </c>
      <c r="O186" s="2">
        <v>0.51</v>
      </c>
      <c r="P186" s="2">
        <v>0.74</v>
      </c>
      <c r="Q186" s="2">
        <v>0.34866666666666662</v>
      </c>
      <c r="R186" s="2">
        <v>0.20666666666666669</v>
      </c>
      <c r="S186" s="2">
        <v>0.25</v>
      </c>
      <c r="T186" s="2">
        <v>0.29333333333333328</v>
      </c>
      <c r="U186" s="2">
        <v>0.57333333333333336</v>
      </c>
      <c r="V186" s="2">
        <v>0.26333333333333331</v>
      </c>
      <c r="W186" s="2">
        <v>0.60333333333333339</v>
      </c>
      <c r="X186" s="2">
        <v>0.57666666666666666</v>
      </c>
    </row>
    <row r="187" spans="1:24" outlineLevel="2" x14ac:dyDescent="0.25">
      <c r="A187" s="1">
        <v>15693010</v>
      </c>
      <c r="B187" s="1" t="s">
        <v>30</v>
      </c>
      <c r="C187" s="1">
        <v>108143</v>
      </c>
      <c r="D187" s="1" t="s">
        <v>31</v>
      </c>
      <c r="E187" s="1">
        <v>242085</v>
      </c>
      <c r="F187" s="1" t="s">
        <v>189</v>
      </c>
      <c r="G187" s="4">
        <v>0.40749803921568623</v>
      </c>
      <c r="H187" s="2">
        <v>0.41333333333333327</v>
      </c>
      <c r="I187" s="2">
        <v>0.26333333333333331</v>
      </c>
      <c r="J187" s="2">
        <v>0.43333333333333329</v>
      </c>
      <c r="K187" s="2">
        <v>0.15333333333333329</v>
      </c>
      <c r="L187" s="2">
        <v>0</v>
      </c>
      <c r="M187" s="2">
        <v>1.033333333333333</v>
      </c>
      <c r="N187" s="2">
        <v>0.40626666666666672</v>
      </c>
      <c r="O187" s="2">
        <v>0.26666666666666672</v>
      </c>
      <c r="P187" s="2">
        <v>0.44333333333333341</v>
      </c>
      <c r="Q187" s="2">
        <v>0.59333333333333338</v>
      </c>
      <c r="R187" s="2">
        <v>0.50120000000000009</v>
      </c>
      <c r="S187" s="2">
        <v>0.42666666666666669</v>
      </c>
      <c r="T187" s="2">
        <v>0.53</v>
      </c>
      <c r="U187" s="2">
        <v>0.31666666666666671</v>
      </c>
      <c r="V187" s="2">
        <v>0.57333333333333336</v>
      </c>
      <c r="W187" s="2">
        <v>0.1</v>
      </c>
      <c r="X187" s="2">
        <v>0.47333333333333327</v>
      </c>
    </row>
    <row r="188" spans="1:24" outlineLevel="2" x14ac:dyDescent="0.25">
      <c r="A188" s="1">
        <v>15693010</v>
      </c>
      <c r="B188" s="1" t="s">
        <v>30</v>
      </c>
      <c r="C188" s="1">
        <v>108143</v>
      </c>
      <c r="D188" s="1" t="s">
        <v>31</v>
      </c>
      <c r="E188" s="1">
        <v>533472</v>
      </c>
      <c r="F188" s="1" t="s">
        <v>193</v>
      </c>
      <c r="G188" s="4">
        <v>0.79647058823529415</v>
      </c>
      <c r="H188" s="2">
        <v>0.70666666666666667</v>
      </c>
      <c r="I188" s="2">
        <v>1.006666666666667</v>
      </c>
      <c r="J188" s="2">
        <v>1.006666666666667</v>
      </c>
      <c r="K188" s="2">
        <v>0.64333333333333331</v>
      </c>
      <c r="L188" s="2">
        <v>0.38666666666666671</v>
      </c>
      <c r="M188" s="2">
        <v>0.82</v>
      </c>
      <c r="N188" s="2">
        <v>0.39333333333333331</v>
      </c>
      <c r="O188" s="2">
        <v>1.0766666666666671</v>
      </c>
      <c r="P188" s="2">
        <v>0.89666666666666661</v>
      </c>
      <c r="Q188" s="2">
        <v>0.5</v>
      </c>
      <c r="R188" s="2">
        <v>0.89666666666666661</v>
      </c>
      <c r="S188" s="2">
        <v>0.7</v>
      </c>
      <c r="T188" s="2">
        <v>0.59666666666666668</v>
      </c>
      <c r="U188" s="2">
        <v>0.81333333333333335</v>
      </c>
      <c r="V188" s="2">
        <v>0.89333333333333331</v>
      </c>
      <c r="W188" s="2">
        <v>1.1066666666666669</v>
      </c>
      <c r="X188" s="2">
        <v>1.0966666666666669</v>
      </c>
    </row>
    <row r="189" spans="1:24" outlineLevel="2" x14ac:dyDescent="0.25">
      <c r="A189" s="1">
        <v>15693010</v>
      </c>
      <c r="B189" s="1" t="s">
        <v>30</v>
      </c>
      <c r="C189" s="1">
        <v>108143</v>
      </c>
      <c r="D189" s="1" t="s">
        <v>31</v>
      </c>
      <c r="E189" s="1">
        <v>158153</v>
      </c>
      <c r="F189" s="1" t="s">
        <v>203</v>
      </c>
      <c r="G189" s="4">
        <v>0.62392156862745096</v>
      </c>
      <c r="H189" s="2">
        <v>0.25440000000000002</v>
      </c>
      <c r="I189" s="2">
        <v>0.77333333333333332</v>
      </c>
      <c r="J189" s="2">
        <v>0.4</v>
      </c>
      <c r="K189" s="2">
        <v>0.74333333333333329</v>
      </c>
      <c r="L189" s="2">
        <v>0</v>
      </c>
      <c r="M189" s="2">
        <v>0</v>
      </c>
      <c r="N189" s="2">
        <v>0.97666666666666668</v>
      </c>
      <c r="O189" s="2">
        <v>0.67333333333333334</v>
      </c>
      <c r="P189" s="2">
        <v>0.74333333333333329</v>
      </c>
      <c r="Q189" s="2">
        <v>0.68333333333333335</v>
      </c>
      <c r="R189" s="2">
        <v>1.043333333333333</v>
      </c>
      <c r="S189" s="2">
        <v>1.1089333333333331</v>
      </c>
      <c r="T189" s="2">
        <v>0.96333333333333337</v>
      </c>
      <c r="U189" s="2">
        <v>0.63</v>
      </c>
      <c r="V189" s="2">
        <v>0.39666666666666672</v>
      </c>
      <c r="W189" s="2">
        <v>0.34666666666666668</v>
      </c>
      <c r="X189" s="2">
        <v>0.87</v>
      </c>
    </row>
    <row r="190" spans="1:24" outlineLevel="2" x14ac:dyDescent="0.25">
      <c r="A190" s="1">
        <v>15693010</v>
      </c>
      <c r="B190" s="1" t="s">
        <v>30</v>
      </c>
      <c r="C190" s="1">
        <v>108143</v>
      </c>
      <c r="D190" s="1" t="s">
        <v>31</v>
      </c>
      <c r="E190" s="1">
        <v>545141</v>
      </c>
      <c r="F190" s="1" t="s">
        <v>209</v>
      </c>
      <c r="G190" s="4">
        <v>0.48799999999999999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0.1633333333333333</v>
      </c>
      <c r="U190" s="2">
        <v>0.66</v>
      </c>
      <c r="V190" s="2">
        <v>0.54</v>
      </c>
      <c r="W190" s="2">
        <v>0.53333333333333333</v>
      </c>
      <c r="X190" s="2">
        <v>0.54333333333333333</v>
      </c>
    </row>
    <row r="191" spans="1:24" outlineLevel="2" x14ac:dyDescent="0.25">
      <c r="A191" s="1">
        <v>15693010</v>
      </c>
      <c r="B191" s="1" t="s">
        <v>30</v>
      </c>
      <c r="C191" s="1">
        <v>108143</v>
      </c>
      <c r="D191" s="1" t="s">
        <v>31</v>
      </c>
      <c r="E191" s="1">
        <v>159237</v>
      </c>
      <c r="F191" s="1" t="s">
        <v>221</v>
      </c>
      <c r="G191" s="4">
        <v>0.34679215686274512</v>
      </c>
      <c r="H191" s="2">
        <v>0.1</v>
      </c>
      <c r="I191" s="2">
        <v>0.56999999999999995</v>
      </c>
      <c r="J191" s="2">
        <v>0.3</v>
      </c>
      <c r="K191" s="2">
        <v>0.48333333333333328</v>
      </c>
      <c r="L191" s="2">
        <v>0.38666666666666671</v>
      </c>
      <c r="M191" s="2">
        <v>0.35666666666666669</v>
      </c>
      <c r="N191" s="2">
        <v>0.76666666666666672</v>
      </c>
      <c r="O191" s="2">
        <v>0.51773333333333327</v>
      </c>
      <c r="P191" s="2">
        <v>0.5</v>
      </c>
      <c r="Q191" s="2">
        <v>0.3644</v>
      </c>
      <c r="R191" s="2">
        <v>0.19</v>
      </c>
      <c r="S191" s="2">
        <v>0.27666666666666673</v>
      </c>
      <c r="T191" s="2">
        <v>0.34666666666666668</v>
      </c>
      <c r="U191" s="2">
        <v>0.27666666666666673</v>
      </c>
      <c r="V191" s="2">
        <v>0</v>
      </c>
      <c r="W191" s="2">
        <v>0</v>
      </c>
      <c r="X191" s="2">
        <v>0.46</v>
      </c>
    </row>
    <row r="192" spans="1:24" outlineLevel="2" x14ac:dyDescent="0.25">
      <c r="A192" s="1">
        <v>15693010</v>
      </c>
      <c r="B192" s="1" t="s">
        <v>30</v>
      </c>
      <c r="C192" s="1">
        <v>108143</v>
      </c>
      <c r="D192" s="1" t="s">
        <v>31</v>
      </c>
      <c r="E192" s="1">
        <v>159518</v>
      </c>
      <c r="F192" s="1" t="s">
        <v>224</v>
      </c>
      <c r="G192" s="4">
        <v>0.42252549019607838</v>
      </c>
      <c r="H192" s="2">
        <v>0.43333333333333329</v>
      </c>
      <c r="I192" s="2">
        <v>0.56226666666666669</v>
      </c>
      <c r="J192" s="2">
        <v>0.26</v>
      </c>
      <c r="K192" s="2">
        <v>0.50666666666666671</v>
      </c>
      <c r="L192" s="2">
        <v>0.41333333333333327</v>
      </c>
      <c r="M192" s="2">
        <v>0.6333333333333333</v>
      </c>
      <c r="N192" s="2">
        <v>0.6</v>
      </c>
      <c r="O192" s="2">
        <v>0.72</v>
      </c>
      <c r="P192" s="2">
        <v>0.71866666666666668</v>
      </c>
      <c r="Q192" s="2">
        <v>0.35666666666666669</v>
      </c>
      <c r="R192" s="2">
        <v>0.27333333333333332</v>
      </c>
      <c r="S192" s="2">
        <v>0.36333333333333329</v>
      </c>
      <c r="T192" s="2">
        <v>0</v>
      </c>
      <c r="U192" s="2">
        <v>7.0000000000000007E-2</v>
      </c>
      <c r="V192" s="2">
        <v>0.26</v>
      </c>
      <c r="W192" s="2">
        <v>0.41333333333333327</v>
      </c>
      <c r="X192" s="2">
        <v>0.59866666666666668</v>
      </c>
    </row>
    <row r="193" spans="1:24" outlineLevel="2" x14ac:dyDescent="0.25">
      <c r="A193" s="1">
        <v>15693010</v>
      </c>
      <c r="B193" s="1" t="s">
        <v>30</v>
      </c>
      <c r="C193" s="1">
        <v>108143</v>
      </c>
      <c r="D193" s="1" t="s">
        <v>31</v>
      </c>
      <c r="E193" s="1">
        <v>183250</v>
      </c>
      <c r="F193" s="1" t="s">
        <v>246</v>
      </c>
      <c r="G193" s="4">
        <v>0.53011428571428576</v>
      </c>
      <c r="H193" s="2">
        <v>0</v>
      </c>
      <c r="I193" s="2">
        <v>0</v>
      </c>
      <c r="J193" s="2">
        <v>0</v>
      </c>
      <c r="K193" s="2">
        <v>0.5</v>
      </c>
      <c r="L193" s="2">
        <v>1.0656000000000001</v>
      </c>
      <c r="M193" s="2">
        <v>0.89333333333333331</v>
      </c>
      <c r="N193" s="2">
        <v>0.5</v>
      </c>
      <c r="O193" s="2">
        <v>0.68333333333333335</v>
      </c>
      <c r="P193" s="2">
        <v>0.40333333333333332</v>
      </c>
      <c r="Q193" s="2">
        <v>0.47599999999999998</v>
      </c>
      <c r="R193" s="2">
        <v>0.48</v>
      </c>
      <c r="S193" s="2">
        <v>0.3</v>
      </c>
      <c r="T193" s="2">
        <v>0.5033333333333333</v>
      </c>
      <c r="U193" s="2">
        <v>0.49666666666666659</v>
      </c>
      <c r="V193" s="2">
        <v>0.22</v>
      </c>
      <c r="W193" s="2">
        <v>0.4</v>
      </c>
      <c r="X193" s="2">
        <v>0.5</v>
      </c>
    </row>
    <row r="194" spans="1:24" outlineLevel="2" x14ac:dyDescent="0.25">
      <c r="A194" s="1">
        <v>15693010</v>
      </c>
      <c r="B194" s="1" t="s">
        <v>30</v>
      </c>
      <c r="C194" s="1">
        <v>108143</v>
      </c>
      <c r="D194" s="1" t="s">
        <v>31</v>
      </c>
      <c r="E194" s="1">
        <v>183124</v>
      </c>
      <c r="F194" s="1" t="s">
        <v>265</v>
      </c>
      <c r="G194" s="4">
        <v>0.58920000000000006</v>
      </c>
      <c r="H194" s="2">
        <v>0.72293333333333332</v>
      </c>
      <c r="I194" s="2">
        <v>0.73439999999999994</v>
      </c>
      <c r="J194" s="2">
        <v>0.51333333333333331</v>
      </c>
      <c r="K194" s="2">
        <v>0.62666666666666671</v>
      </c>
      <c r="L194" s="2">
        <v>0.71906666666666663</v>
      </c>
      <c r="M194" s="2">
        <v>0.63</v>
      </c>
      <c r="N194" s="2">
        <v>0.44</v>
      </c>
      <c r="O194" s="2">
        <v>0.1866666666666667</v>
      </c>
      <c r="P194" s="2">
        <v>0.70666666666666667</v>
      </c>
      <c r="Q194" s="2">
        <v>0.64666666666666661</v>
      </c>
      <c r="R194" s="2">
        <v>0.62</v>
      </c>
      <c r="S194" s="2">
        <v>0.6333333333333333</v>
      </c>
      <c r="T194" s="2">
        <v>0.64666666666666661</v>
      </c>
      <c r="U194" s="2">
        <v>0.54666666666666663</v>
      </c>
      <c r="V194" s="2">
        <v>0.54666666666666663</v>
      </c>
      <c r="W194" s="2">
        <v>0.54333333333333333</v>
      </c>
      <c r="X194" s="2">
        <v>0.55333333333333334</v>
      </c>
    </row>
    <row r="195" spans="1:24" outlineLevel="2" x14ac:dyDescent="0.25">
      <c r="A195" s="1">
        <v>15693010</v>
      </c>
      <c r="B195" s="1" t="s">
        <v>30</v>
      </c>
      <c r="C195" s="1">
        <v>108150</v>
      </c>
      <c r="D195" s="1" t="s">
        <v>77</v>
      </c>
      <c r="E195" s="1">
        <v>157516</v>
      </c>
      <c r="F195" s="1" t="s">
        <v>78</v>
      </c>
      <c r="G195" s="4">
        <v>0.46700392156862741</v>
      </c>
      <c r="H195" s="2">
        <v>0.55000000000000004</v>
      </c>
      <c r="I195" s="2">
        <v>0.62333333333333329</v>
      </c>
      <c r="J195" s="2">
        <v>0.33893333333333342</v>
      </c>
      <c r="K195" s="2">
        <v>0.51333333333333331</v>
      </c>
      <c r="L195" s="2">
        <v>0.15333333333333329</v>
      </c>
      <c r="M195" s="2">
        <v>0.45666666666666672</v>
      </c>
      <c r="N195" s="2">
        <v>0.47666666666666668</v>
      </c>
      <c r="O195" s="2">
        <v>0.52</v>
      </c>
      <c r="P195" s="2">
        <v>0.96466666666666656</v>
      </c>
      <c r="Q195" s="2">
        <v>0.40773333333333328</v>
      </c>
      <c r="R195" s="2">
        <v>0.1721333333333333</v>
      </c>
      <c r="S195" s="2">
        <v>0.54666666666666663</v>
      </c>
      <c r="T195" s="2">
        <v>0.58333333333333337</v>
      </c>
      <c r="U195" s="2">
        <v>0.29893333333333327</v>
      </c>
      <c r="V195" s="2">
        <v>0.34666666666666668</v>
      </c>
      <c r="W195" s="2">
        <v>0.5</v>
      </c>
      <c r="X195" s="2">
        <v>0.48666666666666669</v>
      </c>
    </row>
    <row r="196" spans="1:24" outlineLevel="2" x14ac:dyDescent="0.25">
      <c r="A196" s="1">
        <v>15693010</v>
      </c>
      <c r="B196" s="1" t="s">
        <v>30</v>
      </c>
      <c r="C196" s="1">
        <v>108150</v>
      </c>
      <c r="D196" s="1" t="s">
        <v>77</v>
      </c>
      <c r="E196" s="1">
        <v>160339</v>
      </c>
      <c r="F196" s="1" t="s">
        <v>195</v>
      </c>
      <c r="G196" s="4">
        <v>0.57689629629629624</v>
      </c>
      <c r="H196" s="2">
        <v>0.84666666666666668</v>
      </c>
      <c r="I196" s="2">
        <v>1.041066666666667</v>
      </c>
      <c r="J196" s="2">
        <v>0.73639999999999994</v>
      </c>
      <c r="K196" s="2">
        <v>0.65</v>
      </c>
      <c r="L196" s="2">
        <v>0</v>
      </c>
      <c r="M196" s="2">
        <v>0.51</v>
      </c>
      <c r="N196" s="2">
        <v>0.91</v>
      </c>
      <c r="O196" s="2">
        <v>0.97</v>
      </c>
      <c r="P196" s="2">
        <v>0.2</v>
      </c>
      <c r="Q196" s="2">
        <v>0.48666666666666669</v>
      </c>
      <c r="R196" s="2">
        <v>0.93</v>
      </c>
      <c r="S196" s="2">
        <v>9.6666666666666665E-2</v>
      </c>
      <c r="T196" s="2">
        <v>0.1933333333333333</v>
      </c>
      <c r="U196" s="2">
        <v>0.83666666666666667</v>
      </c>
      <c r="V196" s="2">
        <v>0.82333333333333336</v>
      </c>
      <c r="W196" s="2">
        <v>0.46</v>
      </c>
      <c r="X196" s="2">
        <v>0.69333333333333336</v>
      </c>
    </row>
    <row r="197" spans="1:24" outlineLevel="2" x14ac:dyDescent="0.25">
      <c r="A197" s="1">
        <v>15693010</v>
      </c>
      <c r="B197" s="1" t="s">
        <v>30</v>
      </c>
      <c r="C197" s="1">
        <v>108150</v>
      </c>
      <c r="D197" s="1" t="s">
        <v>77</v>
      </c>
      <c r="E197" s="1">
        <v>160561</v>
      </c>
      <c r="F197" s="1" t="s">
        <v>227</v>
      </c>
      <c r="G197" s="4">
        <v>0.57720784313725493</v>
      </c>
      <c r="H197" s="2">
        <v>0.79666666666666663</v>
      </c>
      <c r="I197" s="2">
        <v>0.77666666666666662</v>
      </c>
      <c r="J197" s="2">
        <v>0.77613333333333334</v>
      </c>
      <c r="K197" s="2">
        <v>0.60906666666666665</v>
      </c>
      <c r="L197" s="2">
        <v>0</v>
      </c>
      <c r="M197" s="2">
        <v>0.68666666666666665</v>
      </c>
      <c r="N197" s="2">
        <v>0.87639999999999985</v>
      </c>
      <c r="O197" s="2">
        <v>0.67093333333333338</v>
      </c>
      <c r="P197" s="2">
        <v>0.26066666666666671</v>
      </c>
      <c r="Q197" s="2">
        <v>0.84666666666666668</v>
      </c>
      <c r="R197" s="2">
        <v>0.81600000000000006</v>
      </c>
      <c r="S197" s="2">
        <v>0.72666666666666668</v>
      </c>
      <c r="T197" s="2">
        <v>0.15333333333333329</v>
      </c>
      <c r="U197" s="2">
        <v>0.50666666666666671</v>
      </c>
      <c r="V197" s="2">
        <v>0.22666666666666671</v>
      </c>
      <c r="W197" s="2">
        <v>0.41333333333333327</v>
      </c>
      <c r="X197" s="2">
        <v>0.67</v>
      </c>
    </row>
    <row r="198" spans="1:24" outlineLevel="2" x14ac:dyDescent="0.25">
      <c r="A198" s="1">
        <v>15693010</v>
      </c>
      <c r="B198" s="1" t="s">
        <v>30</v>
      </c>
      <c r="C198" s="1">
        <v>108150</v>
      </c>
      <c r="D198" s="1" t="s">
        <v>77</v>
      </c>
      <c r="E198" s="1">
        <v>188885</v>
      </c>
      <c r="F198" s="1" t="s">
        <v>236</v>
      </c>
      <c r="G198" s="4">
        <v>0.50111372549019606</v>
      </c>
      <c r="H198" s="2">
        <v>0.56440000000000001</v>
      </c>
      <c r="I198" s="2">
        <v>0.55666666666666664</v>
      </c>
      <c r="J198" s="2">
        <v>0.69666666666666666</v>
      </c>
      <c r="K198" s="2">
        <v>0.1956</v>
      </c>
      <c r="L198" s="2">
        <v>0.14000000000000001</v>
      </c>
      <c r="M198" s="2">
        <v>0.33666666666666673</v>
      </c>
      <c r="N198" s="2">
        <v>0.74333333333333329</v>
      </c>
      <c r="O198" s="2">
        <v>0.35333333333333328</v>
      </c>
      <c r="P198" s="2">
        <v>0.56333333333333335</v>
      </c>
      <c r="Q198" s="2">
        <v>0.42666666666666669</v>
      </c>
      <c r="R198" s="2">
        <v>0.33226666666666671</v>
      </c>
      <c r="S198" s="2">
        <v>0.26</v>
      </c>
      <c r="T198" s="2">
        <v>0.42333333333333328</v>
      </c>
      <c r="U198" s="2">
        <v>0.64666666666666661</v>
      </c>
      <c r="V198" s="2">
        <v>0.71666666666666667</v>
      </c>
      <c r="W198" s="2">
        <v>0.85666666666666669</v>
      </c>
      <c r="X198" s="2">
        <v>0.70666666666666667</v>
      </c>
    </row>
    <row r="199" spans="1:24" outlineLevel="2" x14ac:dyDescent="0.25">
      <c r="A199" s="1">
        <v>15693010</v>
      </c>
      <c r="B199" s="1" t="s">
        <v>30</v>
      </c>
      <c r="C199" s="1">
        <v>108604</v>
      </c>
      <c r="D199" s="1" t="s">
        <v>36</v>
      </c>
      <c r="E199" s="1">
        <v>159177</v>
      </c>
      <c r="F199" s="1" t="s">
        <v>37</v>
      </c>
      <c r="G199" s="4">
        <v>0.46821481481481492</v>
      </c>
      <c r="H199" s="2">
        <v>0.60666666666666669</v>
      </c>
      <c r="I199" s="2">
        <v>0.27666666666666673</v>
      </c>
      <c r="J199" s="2">
        <v>0.46666666666666667</v>
      </c>
      <c r="K199" s="2">
        <v>0.39333333333333331</v>
      </c>
      <c r="L199" s="2">
        <v>0.3494666666666667</v>
      </c>
      <c r="M199" s="2">
        <v>0.42</v>
      </c>
      <c r="N199" s="2">
        <v>0.89</v>
      </c>
      <c r="O199" s="2">
        <v>0.66</v>
      </c>
      <c r="P199" s="2">
        <v>0.2</v>
      </c>
      <c r="Q199" s="2">
        <v>0.69</v>
      </c>
      <c r="R199" s="2">
        <v>0.30893333333333328</v>
      </c>
      <c r="S199" s="2">
        <v>0.80333333333333334</v>
      </c>
      <c r="T199" s="2">
        <v>0.69</v>
      </c>
      <c r="U199" s="2">
        <v>7.3333333333333334E-2</v>
      </c>
      <c r="V199" s="2">
        <v>0.2</v>
      </c>
      <c r="W199" s="2">
        <v>0.21</v>
      </c>
      <c r="X199" s="2">
        <v>0.84</v>
      </c>
    </row>
    <row r="200" spans="1:24" outlineLevel="2" x14ac:dyDescent="0.25">
      <c r="A200" s="1">
        <v>15693010</v>
      </c>
      <c r="B200" s="1" t="s">
        <v>30</v>
      </c>
      <c r="C200" s="1">
        <v>108604</v>
      </c>
      <c r="D200" s="1" t="s">
        <v>36</v>
      </c>
      <c r="E200" s="1">
        <v>206092</v>
      </c>
      <c r="F200" s="1" t="s">
        <v>140</v>
      </c>
      <c r="G200" s="4">
        <v>0.87827450980392152</v>
      </c>
      <c r="H200" s="2">
        <v>0.2</v>
      </c>
      <c r="I200" s="2">
        <v>0.30666666666666659</v>
      </c>
      <c r="J200" s="2">
        <v>1.1433333333333331</v>
      </c>
      <c r="K200" s="2">
        <v>0.86</v>
      </c>
      <c r="L200" s="2">
        <v>1.07</v>
      </c>
      <c r="M200" s="2">
        <v>1.2133333333333329</v>
      </c>
      <c r="N200" s="2">
        <v>0.8494666666666667</v>
      </c>
      <c r="O200" s="2">
        <v>0.5410666666666667</v>
      </c>
      <c r="P200" s="2">
        <v>0.99333333333333329</v>
      </c>
      <c r="Q200" s="2">
        <v>0.9966666666666667</v>
      </c>
      <c r="R200" s="2">
        <v>0.6166666666666667</v>
      </c>
      <c r="S200" s="2">
        <v>0.98906666666666676</v>
      </c>
      <c r="T200" s="2">
        <v>1.436666666666667</v>
      </c>
      <c r="U200" s="2">
        <v>1.2077333333333331</v>
      </c>
      <c r="V200" s="2">
        <v>0.35333333333333328</v>
      </c>
      <c r="W200" s="2">
        <v>1.033333333333333</v>
      </c>
      <c r="X200" s="2">
        <v>1.1200000000000001</v>
      </c>
    </row>
    <row r="201" spans="1:24" outlineLevel="2" x14ac:dyDescent="0.25">
      <c r="A201" s="1">
        <v>15693010</v>
      </c>
      <c r="B201" s="1" t="s">
        <v>30</v>
      </c>
      <c r="C201" s="1">
        <v>108604</v>
      </c>
      <c r="D201" s="1" t="s">
        <v>36</v>
      </c>
      <c r="E201" s="1">
        <v>135254</v>
      </c>
      <c r="F201" s="1" t="s">
        <v>147</v>
      </c>
      <c r="G201" s="4">
        <v>0.39576470588235302</v>
      </c>
      <c r="H201" s="2">
        <v>0.38666666666666671</v>
      </c>
      <c r="I201" s="2">
        <v>0.40666666666666668</v>
      </c>
      <c r="J201" s="2">
        <v>0.46</v>
      </c>
      <c r="K201" s="2">
        <v>8.666666666666667E-2</v>
      </c>
      <c r="L201" s="2">
        <v>0</v>
      </c>
      <c r="M201" s="2">
        <v>0.35</v>
      </c>
      <c r="N201" s="2">
        <v>0.48359999999999997</v>
      </c>
      <c r="O201" s="2">
        <v>0.34666666666666668</v>
      </c>
      <c r="P201" s="2">
        <v>0.45</v>
      </c>
      <c r="Q201" s="2">
        <v>0.23333333333333331</v>
      </c>
      <c r="R201" s="2">
        <v>0.64666666666666661</v>
      </c>
      <c r="S201" s="2">
        <v>0.60106666666666664</v>
      </c>
      <c r="T201" s="2">
        <v>0.51</v>
      </c>
      <c r="U201" s="2">
        <v>0.52</v>
      </c>
      <c r="V201" s="2">
        <v>0.43333333333333329</v>
      </c>
      <c r="W201" s="2">
        <v>0.15333333333333329</v>
      </c>
      <c r="X201" s="2">
        <v>0.66</v>
      </c>
    </row>
    <row r="202" spans="1:24" outlineLevel="2" x14ac:dyDescent="0.25">
      <c r="A202" s="1">
        <v>15693010</v>
      </c>
      <c r="B202" s="1" t="s">
        <v>30</v>
      </c>
      <c r="C202" s="1">
        <v>108604</v>
      </c>
      <c r="D202" s="1" t="s">
        <v>36</v>
      </c>
      <c r="E202" s="1">
        <v>160245</v>
      </c>
      <c r="F202" s="1" t="s">
        <v>190</v>
      </c>
      <c r="G202" s="4">
        <v>0.43486274509803918</v>
      </c>
      <c r="H202" s="2">
        <v>0.3</v>
      </c>
      <c r="I202" s="2">
        <v>0.22666666666666671</v>
      </c>
      <c r="J202" s="2">
        <v>0.51666666666666672</v>
      </c>
      <c r="K202" s="2">
        <v>0.77826666666666666</v>
      </c>
      <c r="L202" s="2">
        <v>0.42</v>
      </c>
      <c r="M202" s="2">
        <v>0.76666666666666672</v>
      </c>
      <c r="N202" s="2">
        <v>0.22</v>
      </c>
      <c r="O202" s="2">
        <v>0.59</v>
      </c>
      <c r="P202" s="2">
        <v>0.34</v>
      </c>
      <c r="Q202" s="2">
        <v>0.25333333333333341</v>
      </c>
      <c r="R202" s="2">
        <v>0.5033333333333333</v>
      </c>
      <c r="S202" s="2">
        <v>0.63773333333333326</v>
      </c>
      <c r="T202" s="2">
        <v>0.68333333333333335</v>
      </c>
      <c r="U202" s="2">
        <v>0.20666666666666669</v>
      </c>
      <c r="V202" s="2">
        <v>0.38333333333333341</v>
      </c>
      <c r="W202" s="2">
        <v>7.3333333333333334E-2</v>
      </c>
      <c r="X202" s="2">
        <v>0.49333333333333329</v>
      </c>
    </row>
    <row r="203" spans="1:24" outlineLevel="2" x14ac:dyDescent="0.25">
      <c r="A203" s="1">
        <v>15693010</v>
      </c>
      <c r="B203" s="1" t="s">
        <v>30</v>
      </c>
      <c r="C203" s="1">
        <v>108604</v>
      </c>
      <c r="D203" s="1" t="s">
        <v>36</v>
      </c>
      <c r="E203" s="1">
        <v>214866</v>
      </c>
      <c r="F203" s="1" t="s">
        <v>225</v>
      </c>
      <c r="G203" s="4">
        <v>0.33949523809523813</v>
      </c>
      <c r="H203" s="2">
        <v>0.28333333333333333</v>
      </c>
      <c r="I203" s="2">
        <v>0.41</v>
      </c>
      <c r="J203" s="2">
        <v>0.2466666666666667</v>
      </c>
      <c r="K203" s="2">
        <v>0.52</v>
      </c>
      <c r="L203" s="2">
        <v>0.39333333333333331</v>
      </c>
      <c r="M203" s="2">
        <v>0.32666666666666672</v>
      </c>
      <c r="N203" s="2">
        <v>0.35266666666666668</v>
      </c>
      <c r="O203" s="2">
        <v>0.43666666666666659</v>
      </c>
      <c r="P203" s="2">
        <v>0.27666666666666673</v>
      </c>
      <c r="Q203" s="2">
        <v>0.37333333333333341</v>
      </c>
      <c r="R203" s="2">
        <v>0.38866666666666672</v>
      </c>
      <c r="S203" s="2">
        <v>0.34333333333333332</v>
      </c>
      <c r="T203" s="2">
        <v>0.36159999999999998</v>
      </c>
      <c r="U203" s="2">
        <v>0.04</v>
      </c>
      <c r="V203" s="2">
        <v>0</v>
      </c>
      <c r="W203" s="2">
        <v>0</v>
      </c>
      <c r="X203" s="2">
        <v>0</v>
      </c>
    </row>
    <row r="204" spans="1:24" outlineLevel="2" x14ac:dyDescent="0.25">
      <c r="A204" s="1">
        <v>15693010</v>
      </c>
      <c r="B204" s="1" t="s">
        <v>30</v>
      </c>
      <c r="C204" s="1">
        <v>200020</v>
      </c>
      <c r="D204" s="1" t="s">
        <v>254</v>
      </c>
      <c r="E204" s="1">
        <v>580938</v>
      </c>
      <c r="F204" s="1" t="s">
        <v>255</v>
      </c>
      <c r="G204" s="4">
        <v>0.37792156862745102</v>
      </c>
      <c r="H204" s="2">
        <v>0.18</v>
      </c>
      <c r="I204" s="2">
        <v>0.36413333333333331</v>
      </c>
      <c r="J204" s="2">
        <v>0.42853333333333332</v>
      </c>
      <c r="K204" s="2">
        <v>0.45519999999999999</v>
      </c>
      <c r="L204" s="2">
        <v>0.30333333333333329</v>
      </c>
      <c r="M204" s="2">
        <v>0.42666666666666669</v>
      </c>
      <c r="N204" s="2">
        <v>0.60333333333333339</v>
      </c>
      <c r="O204" s="2">
        <v>0.44440000000000002</v>
      </c>
      <c r="P204" s="2">
        <v>0.56333333333333335</v>
      </c>
      <c r="Q204" s="2">
        <v>0.59439999999999993</v>
      </c>
      <c r="R204" s="2">
        <v>0.54666666666666663</v>
      </c>
      <c r="S204" s="2">
        <v>0.64159999999999995</v>
      </c>
      <c r="T204" s="2">
        <v>0.19600000000000001</v>
      </c>
      <c r="U204" s="2">
        <v>0.13373333333333329</v>
      </c>
      <c r="V204" s="2">
        <v>0.36333333333333329</v>
      </c>
      <c r="W204" s="2">
        <v>0.12666666666666671</v>
      </c>
      <c r="X204" s="2">
        <v>5.3333333333333337E-2</v>
      </c>
    </row>
    <row r="205" spans="1:24" outlineLevel="1" x14ac:dyDescent="0.25">
      <c r="A205" s="7" t="str">
        <f>A204&amp;" - "&amp;B204</f>
        <v>15693010 - Environmental Services</v>
      </c>
      <c r="B205" s="7"/>
      <c r="C205" s="7"/>
      <c r="D205" s="7"/>
      <c r="E205" s="7"/>
      <c r="F205" s="7"/>
      <c r="G205" s="8">
        <f>SUBTOTAL(9,G170:G204)</f>
        <v>18.139778279998872</v>
      </c>
      <c r="H205" s="8">
        <f>SUBTOTAL(9,H170:H204)</f>
        <v>13.448399999999999</v>
      </c>
      <c r="I205" s="8">
        <f>SUBTOTAL(9,I170:I204)</f>
        <v>17.312933333333337</v>
      </c>
      <c r="J205" s="8">
        <f>SUBTOTAL(9,J170:J204)</f>
        <v>16.43386666666667</v>
      </c>
      <c r="K205" s="8">
        <f>SUBTOTAL(9,K170:K204)</f>
        <v>16.159733333333335</v>
      </c>
      <c r="L205" s="8">
        <f>SUBTOTAL(9,L170:L204)</f>
        <v>11.160733333333333</v>
      </c>
      <c r="M205" s="8">
        <f>SUBTOTAL(9,M170:M204)</f>
        <v>19.038933333333336</v>
      </c>
      <c r="N205" s="8">
        <f>SUBTOTAL(9,N170:N204)</f>
        <v>18.6812</v>
      </c>
      <c r="O205" s="8">
        <f>SUBTOTAL(9,O170:O204)</f>
        <v>18.528800000000007</v>
      </c>
      <c r="P205" s="8">
        <f>SUBTOTAL(9,P170:P204)</f>
        <v>19.63933333333333</v>
      </c>
      <c r="Q205" s="8">
        <f>SUBTOTAL(9,Q170:Q204)</f>
        <v>18.268800000000006</v>
      </c>
      <c r="R205" s="8">
        <f>SUBTOTAL(9,R170:R204)</f>
        <v>18.713200000000001</v>
      </c>
      <c r="S205" s="8">
        <f>SUBTOTAL(9,S170:S204)</f>
        <v>18.530133333333332</v>
      </c>
      <c r="T205" s="8">
        <f>SUBTOTAL(9,T170:T204)</f>
        <v>19.307066666666671</v>
      </c>
      <c r="U205" s="8">
        <f>SUBTOTAL(9,U170:U204)</f>
        <v>17.707066666666666</v>
      </c>
      <c r="V205" s="8">
        <f>SUBTOTAL(9,V170:V204)</f>
        <v>17.013333333333335</v>
      </c>
      <c r="W205" s="8">
        <f>SUBTOTAL(9,W170:W204)</f>
        <v>17.666666666666668</v>
      </c>
      <c r="X205" s="8">
        <f>SUBTOTAL(9,X170:X204)</f>
        <v>20.185333333333336</v>
      </c>
    </row>
    <row r="206" spans="1:24" outlineLevel="2" x14ac:dyDescent="0.25">
      <c r="A206" s="1">
        <v>15693050</v>
      </c>
      <c r="B206" s="1" t="s">
        <v>157</v>
      </c>
      <c r="C206" s="1">
        <v>108244</v>
      </c>
      <c r="D206" s="1" t="s">
        <v>228</v>
      </c>
      <c r="E206" s="1">
        <v>157151</v>
      </c>
      <c r="F206" s="1" t="s">
        <v>229</v>
      </c>
      <c r="G206" s="4">
        <v>0.63196078431372549</v>
      </c>
      <c r="H206" s="2">
        <v>0.6166666666666667</v>
      </c>
      <c r="I206" s="2">
        <v>0.7533333333333333</v>
      </c>
      <c r="J206" s="2">
        <v>0.39666666666666672</v>
      </c>
      <c r="K206" s="2">
        <v>0.65</v>
      </c>
      <c r="L206" s="2">
        <v>0.45333333333333331</v>
      </c>
      <c r="M206" s="2">
        <v>0.75</v>
      </c>
      <c r="N206" s="2">
        <v>0.62333333333333329</v>
      </c>
      <c r="O206" s="2">
        <v>0.83666666666666667</v>
      </c>
      <c r="P206" s="2">
        <v>0.61333333333333329</v>
      </c>
      <c r="Q206" s="2">
        <v>0.71666666666666667</v>
      </c>
      <c r="R206" s="2">
        <v>0.6166666666666667</v>
      </c>
      <c r="S206" s="2">
        <v>0.74333333333333329</v>
      </c>
      <c r="T206" s="2">
        <v>0.54</v>
      </c>
      <c r="U206" s="2">
        <v>0.48</v>
      </c>
      <c r="V206" s="2">
        <v>0.84666666666666668</v>
      </c>
      <c r="W206" s="2">
        <v>0.7466666666666667</v>
      </c>
      <c r="X206" s="2">
        <v>0.36</v>
      </c>
    </row>
    <row r="207" spans="1:24" outlineLevel="2" x14ac:dyDescent="0.25">
      <c r="A207" s="1">
        <v>15693050</v>
      </c>
      <c r="B207" s="1" t="s">
        <v>157</v>
      </c>
      <c r="C207" s="1">
        <v>108248</v>
      </c>
      <c r="D207" s="1" t="s">
        <v>158</v>
      </c>
      <c r="E207" s="1">
        <v>165988</v>
      </c>
      <c r="F207" s="1" t="s">
        <v>159</v>
      </c>
      <c r="G207" s="4">
        <v>0.42039215686274511</v>
      </c>
      <c r="H207" s="2">
        <v>0.57333333333333336</v>
      </c>
      <c r="I207" s="2">
        <v>0.67333333333333334</v>
      </c>
      <c r="J207" s="2">
        <v>0.43333333333333329</v>
      </c>
      <c r="K207" s="2">
        <v>0.36</v>
      </c>
      <c r="L207" s="2">
        <v>0</v>
      </c>
      <c r="M207" s="2">
        <v>0.38</v>
      </c>
      <c r="N207" s="2">
        <v>0.63</v>
      </c>
      <c r="O207" s="2">
        <v>0.56999999999999995</v>
      </c>
      <c r="P207" s="2">
        <v>0.36333333333333329</v>
      </c>
      <c r="Q207" s="2">
        <v>0.51333333333333331</v>
      </c>
      <c r="R207" s="2">
        <v>0.6333333333333333</v>
      </c>
      <c r="S207" s="2">
        <v>0</v>
      </c>
      <c r="T207" s="2">
        <v>0.39</v>
      </c>
      <c r="U207" s="2">
        <v>0.60333333333333339</v>
      </c>
      <c r="V207" s="2">
        <v>0.32666666666666672</v>
      </c>
      <c r="W207" s="2">
        <v>0.42</v>
      </c>
      <c r="X207" s="2">
        <v>0.27666666666666673</v>
      </c>
    </row>
    <row r="208" spans="1:24" outlineLevel="1" x14ac:dyDescent="0.25">
      <c r="A208" s="7" t="str">
        <f>A207&amp;" - "&amp;B207</f>
        <v>15693050 - Sup Svc-Telecommunications</v>
      </c>
      <c r="B208" s="7"/>
      <c r="C208" s="7"/>
      <c r="D208" s="7"/>
      <c r="E208" s="7"/>
      <c r="F208" s="7"/>
      <c r="G208" s="8">
        <f>SUBTOTAL(9,G206:G207)</f>
        <v>1.0523529411764705</v>
      </c>
      <c r="H208" s="8">
        <f>SUBTOTAL(9,H206:H207)</f>
        <v>1.19</v>
      </c>
      <c r="I208" s="8">
        <f>SUBTOTAL(9,I206:I207)</f>
        <v>1.4266666666666667</v>
      </c>
      <c r="J208" s="8">
        <f>SUBTOTAL(9,J206:J207)</f>
        <v>0.83000000000000007</v>
      </c>
      <c r="K208" s="8">
        <f>SUBTOTAL(9,K206:K207)</f>
        <v>1.01</v>
      </c>
      <c r="L208" s="8">
        <f>SUBTOTAL(9,L206:L207)</f>
        <v>0.45333333333333331</v>
      </c>
      <c r="M208" s="8">
        <f>SUBTOTAL(9,M206:M207)</f>
        <v>1.1299999999999999</v>
      </c>
      <c r="N208" s="8">
        <f>SUBTOTAL(9,N206:N207)</f>
        <v>1.2533333333333334</v>
      </c>
      <c r="O208" s="8">
        <f>SUBTOTAL(9,O206:O207)</f>
        <v>1.4066666666666667</v>
      </c>
      <c r="P208" s="8">
        <f>SUBTOTAL(9,P206:P207)</f>
        <v>0.97666666666666657</v>
      </c>
      <c r="Q208" s="8">
        <f>SUBTOTAL(9,Q206:Q207)</f>
        <v>1.23</v>
      </c>
      <c r="R208" s="8">
        <f>SUBTOTAL(9,R206:R207)</f>
        <v>1.25</v>
      </c>
      <c r="S208" s="8">
        <f>SUBTOTAL(9,S206:S207)</f>
        <v>0.74333333333333329</v>
      </c>
      <c r="T208" s="8">
        <f>SUBTOTAL(9,T206:T207)</f>
        <v>0.93</v>
      </c>
      <c r="U208" s="8">
        <f>SUBTOTAL(9,U206:U207)</f>
        <v>1.0833333333333335</v>
      </c>
      <c r="V208" s="8">
        <f>SUBTOTAL(9,V206:V207)</f>
        <v>1.1733333333333333</v>
      </c>
      <c r="W208" s="8">
        <f>SUBTOTAL(9,W206:W207)</f>
        <v>1.1666666666666667</v>
      </c>
      <c r="X208" s="8">
        <f>SUBTOTAL(9,X206:X207)</f>
        <v>0.63666666666666671</v>
      </c>
    </row>
    <row r="209" spans="1:24" ht="15" thickBot="1" x14ac:dyDescent="0.3">
      <c r="A209" s="9" t="s">
        <v>273</v>
      </c>
      <c r="B209" s="9"/>
      <c r="C209" s="9"/>
      <c r="D209" s="9"/>
      <c r="E209" s="9"/>
      <c r="F209" s="9"/>
      <c r="G209" s="10">
        <f>SUBTOTAL(9,G6:G207)</f>
        <v>66.854915836056435</v>
      </c>
      <c r="H209" s="10">
        <f>SUBTOTAL(9,H6:H207)</f>
        <v>57.68382350982349</v>
      </c>
      <c r="I209" s="10">
        <f>SUBTOTAL(9,I6:I207)</f>
        <v>62.722158730158718</v>
      </c>
      <c r="J209" s="10">
        <f>SUBTOTAL(9,J6:J207)</f>
        <v>59.925072619047619</v>
      </c>
      <c r="K209" s="10">
        <f>SUBTOTAL(9,K6:K207)</f>
        <v>65.434397299525855</v>
      </c>
      <c r="L209" s="10">
        <f>SUBTOTAL(9,L6:L207)</f>
        <v>58.217082426303882</v>
      </c>
      <c r="M209" s="10">
        <f>SUBTOTAL(9,M6:M207)</f>
        <v>67.285492616642586</v>
      </c>
      <c r="N209" s="10">
        <f>SUBTOTAL(9,N6:N207)</f>
        <v>66.204120634920613</v>
      </c>
      <c r="O209" s="10">
        <f>SUBTOTAL(9,O6:O207)</f>
        <v>67.417394853294837</v>
      </c>
      <c r="P209" s="10">
        <f>SUBTOTAL(9,P6:P207)</f>
        <v>69.383669614512471</v>
      </c>
      <c r="Q209" s="10">
        <f>SUBTOTAL(9,Q6:Q207)</f>
        <v>66.532495389266813</v>
      </c>
      <c r="R209" s="10">
        <f>SUBTOTAL(9,R6:R207)</f>
        <v>69.780653418803382</v>
      </c>
      <c r="S209" s="10">
        <f>SUBTOTAL(9,S6:S207)</f>
        <v>71.653254758469075</v>
      </c>
      <c r="T209" s="10">
        <f>SUBTOTAL(9,T6:T207)</f>
        <v>70.548308616780034</v>
      </c>
      <c r="U209" s="10">
        <f>SUBTOTAL(9,U6:U207)</f>
        <v>71.209994083694113</v>
      </c>
      <c r="V209" s="10">
        <f>SUBTOTAL(9,V6:V207)</f>
        <v>69.694673015873022</v>
      </c>
      <c r="W209" s="10">
        <f>SUBTOTAL(9,W6:W207)</f>
        <v>69.659463492063495</v>
      </c>
      <c r="X209" s="10">
        <f>SUBTOTAL(9,X6:X207)</f>
        <v>72.245891390091387</v>
      </c>
    </row>
    <row r="210" spans="1:24" ht="15" thickTop="1" x14ac:dyDescent="0.25"/>
  </sheetData>
  <autoFilter ref="A5:X207" xr:uid="{00000000-0001-0000-0000-000000000000}"/>
  <sortState xmlns:xlrd2="http://schemas.microsoft.com/office/spreadsheetml/2017/richdata2" ref="A6:X207">
    <sortCondition ref="A6:A207"/>
    <sortCondition ref="C6:C207"/>
    <sortCondition ref="F6:F207"/>
  </sortState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2026-09-21T17:35:33Z</dcterms:created>
  <dcterms:modified xsi:type="dcterms:W3CDTF">2026-09-21T17:46:34Z</dcterms:modified>
</cp:coreProperties>
</file>